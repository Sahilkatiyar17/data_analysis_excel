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https://d.docs.live.net/bfdca51fca5bc439/Documents/"/>
    </mc:Choice>
  </mc:AlternateContent>
  <xr:revisionPtr revIDLastSave="3" documentId="8_{12ABA772-3F79-4A7E-B002-15B0FE2F4894}" xr6:coauthVersionLast="47" xr6:coauthVersionMax="47" xr10:uidLastSave="{6B242FC1-EA9B-466A-A888-55033B9F09D2}"/>
  <bookViews>
    <workbookView xWindow="-120" yWindow="-120" windowWidth="29040" windowHeight="15720" activeTab="2" xr2:uid="{00000000-000D-0000-FFFF-FFFF00000000}"/>
  </bookViews>
  <sheets>
    <sheet name="First model" sheetId="1" r:id="rId1"/>
    <sheet name="Insights" sheetId="3" r:id="rId2"/>
    <sheet name="Dashboard" sheetId="4" r:id="rId3"/>
  </sheets>
  <definedNames>
    <definedName name="_xlnm._FilterDatabase" localSheetId="0" hidden="1">'First model'!$C$1:$C$31</definedName>
    <definedName name="Slicer_Product_Category">#N/A</definedName>
    <definedName name="Slicer_Raw_Material">#N/A</definedName>
    <definedName name="Slicer_Region">#N/A</definedName>
  </definedNames>
  <calcPr calcId="191029"/>
  <pivotCaches>
    <pivotCache cacheId="6"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3" l="1"/>
  <c r="A2" i="3"/>
  <c r="A25" i="1"/>
  <c r="A26" i="1"/>
  <c r="A31" i="1"/>
  <c r="A19" i="1"/>
  <c r="A27" i="1"/>
  <c r="A12" i="1"/>
  <c r="A21" i="1"/>
  <c r="A14" i="1"/>
  <c r="A7" i="1"/>
  <c r="A3" i="1"/>
  <c r="A13" i="1"/>
  <c r="A17" i="1"/>
  <c r="A11" i="1"/>
  <c r="A28" i="1"/>
  <c r="A8" i="1"/>
  <c r="A15" i="1"/>
  <c r="A16" i="1"/>
  <c r="A30" i="1"/>
  <c r="A10" i="1"/>
  <c r="A23" i="1"/>
  <c r="A4" i="1"/>
  <c r="A2" i="1"/>
  <c r="A20" i="1"/>
  <c r="A22" i="1"/>
  <c r="A9" i="1"/>
  <c r="A6" i="1"/>
  <c r="A18" i="1"/>
  <c r="A5" i="1"/>
  <c r="A24" i="1"/>
  <c r="A29" i="1"/>
</calcChain>
</file>

<file path=xl/sharedStrings.xml><?xml version="1.0" encoding="utf-8"?>
<sst xmlns="http://schemas.openxmlformats.org/spreadsheetml/2006/main" count="278" uniqueCount="79">
  <si>
    <t>Quantity</t>
  </si>
  <si>
    <t>Unit_Price</t>
  </si>
  <si>
    <t>Product_ID</t>
  </si>
  <si>
    <t>Cotton</t>
  </si>
  <si>
    <t>Accessories</t>
  </si>
  <si>
    <t>Wool</t>
  </si>
  <si>
    <t>Shorts</t>
  </si>
  <si>
    <t>Pants</t>
  </si>
  <si>
    <t>Longitude</t>
  </si>
  <si>
    <t>Latitude</t>
  </si>
  <si>
    <t>Customer_ID</t>
    <phoneticPr fontId="18" type="noConversion"/>
  </si>
  <si>
    <t>Region</t>
    <phoneticPr fontId="18" type="noConversion"/>
  </si>
  <si>
    <t>Sales_Revenue</t>
    <phoneticPr fontId="18" type="noConversion"/>
  </si>
  <si>
    <t>Product_Description</t>
    <phoneticPr fontId="18" type="noConversion"/>
  </si>
  <si>
    <t>Product_Category</t>
    <phoneticPr fontId="18" type="noConversion"/>
  </si>
  <si>
    <t>Raw_Material</t>
    <phoneticPr fontId="18" type="noConversion"/>
  </si>
  <si>
    <t>Menswear</t>
  </si>
  <si>
    <t>Womenswear</t>
  </si>
  <si>
    <t>Sports</t>
  </si>
  <si>
    <t>Cycling Jerseys</t>
  </si>
  <si>
    <t>Casual Shirts</t>
  </si>
  <si>
    <t>Jeans</t>
  </si>
  <si>
    <t>Belts</t>
  </si>
  <si>
    <t>Ties</t>
  </si>
  <si>
    <t>Polo Shirts</t>
  </si>
  <si>
    <t>Tshirts</t>
  </si>
  <si>
    <t>Formal Shirts</t>
  </si>
  <si>
    <t>Knitwear</t>
  </si>
  <si>
    <t>Suits</t>
  </si>
  <si>
    <t>Sweats</t>
  </si>
  <si>
    <t>GolfShoes</t>
  </si>
  <si>
    <t>Dress</t>
  </si>
  <si>
    <t>Coats</t>
  </si>
  <si>
    <t>Underwear</t>
  </si>
  <si>
    <t>Pyjamas</t>
  </si>
  <si>
    <t>Fabrics</t>
    <phoneticPr fontId="18" type="noConversion"/>
  </si>
  <si>
    <t>Leather</t>
    <phoneticPr fontId="18" type="noConversion"/>
  </si>
  <si>
    <t>Wool</t>
    <phoneticPr fontId="18" type="noConversion"/>
  </si>
  <si>
    <t>Cashmere</t>
    <phoneticPr fontId="18" type="noConversion"/>
  </si>
  <si>
    <t>Polyester</t>
    <phoneticPr fontId="18" type="noConversion"/>
  </si>
  <si>
    <t>York</t>
  </si>
  <si>
    <t>Worcester</t>
  </si>
  <si>
    <t>Winchester</t>
    <phoneticPr fontId="18" type="noConversion"/>
  </si>
  <si>
    <t>Wells</t>
    <phoneticPr fontId="18" type="noConversion"/>
  </si>
  <si>
    <t>Wakefield</t>
    <phoneticPr fontId="18" type="noConversion"/>
  </si>
  <si>
    <t>Truro</t>
    <phoneticPr fontId="18" type="noConversion"/>
  </si>
  <si>
    <t>Product_Line</t>
  </si>
  <si>
    <t>Tops</t>
  </si>
  <si>
    <t>Leathers</t>
  </si>
  <si>
    <t>Shoes</t>
  </si>
  <si>
    <t>Trousers</t>
  </si>
  <si>
    <t>Date</t>
  </si>
  <si>
    <t>Fabrics</t>
  </si>
  <si>
    <t>Winchester</t>
  </si>
  <si>
    <t>Leather</t>
  </si>
  <si>
    <t>Wells</t>
  </si>
  <si>
    <t>Wakefield</t>
  </si>
  <si>
    <t>Cashmere</t>
  </si>
  <si>
    <t>Polyester</t>
  </si>
  <si>
    <t>Truro</t>
  </si>
  <si>
    <t>converted_dates</t>
  </si>
  <si>
    <t>Total revenue</t>
  </si>
  <si>
    <t>Row Labels</t>
  </si>
  <si>
    <t>Grand Total</t>
  </si>
  <si>
    <t>highest selling product_category</t>
  </si>
  <si>
    <t>Column Labels</t>
  </si>
  <si>
    <t>Sum of Quantity</t>
  </si>
  <si>
    <t>Sum of Sales_Revenue</t>
  </si>
  <si>
    <t>Most profitable prdouct_category</t>
  </si>
  <si>
    <t>highest selling product</t>
  </si>
  <si>
    <t>highest profitable product</t>
  </si>
  <si>
    <t>Total customers</t>
  </si>
  <si>
    <t>Count of Raw_Material</t>
  </si>
  <si>
    <t>Sales according to places</t>
  </si>
  <si>
    <t>Raw material sold in particular places</t>
  </si>
  <si>
    <t>product_category sold in specific region</t>
  </si>
  <si>
    <t>highest selling product from specific raw material</t>
  </si>
  <si>
    <t>most profitable product from specific raw_material</t>
  </si>
  <si>
    <t>Product sales e-commerce website of 1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</si>
</sst>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00_ ;_-[$$-409]* \-#,##0.0000\ ;_-[$$-409]* &quot;-&quot;??_ ;_-@_ "/>
    <numFmt numFmtId="166" formatCode="_-[$$-409]* #,##0.00_ ;_-[$$-409]* \-#,##0.00\ ;_-[$$-409]* &quot;-&quot;??_ ;_-@_ "/>
  </numFmts>
  <fonts count="20" x14ac:knownFonts="1">
    <font>
      <sz val="10"/>
      <color theme="1"/>
      <name val="Gill Sans MT"/>
      <family val="2"/>
      <scheme val="minor"/>
    </font>
    <font>
      <sz val="10"/>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0"/>
      <color rgb="FF006100"/>
      <name val="Gill Sans MT"/>
      <family val="2"/>
      <scheme val="minor"/>
    </font>
    <font>
      <sz val="10"/>
      <color rgb="FF9C0006"/>
      <name val="Gill Sans MT"/>
      <family val="2"/>
      <scheme val="minor"/>
    </font>
    <font>
      <sz val="10"/>
      <color rgb="FF9C5700"/>
      <name val="Gill Sans MT"/>
      <family val="2"/>
      <scheme val="minor"/>
    </font>
    <font>
      <sz val="10"/>
      <color rgb="FF3F3F76"/>
      <name val="Gill Sans MT"/>
      <family val="2"/>
      <scheme val="minor"/>
    </font>
    <font>
      <b/>
      <sz val="10"/>
      <color rgb="FF3F3F3F"/>
      <name val="Gill Sans MT"/>
      <family val="2"/>
      <scheme val="minor"/>
    </font>
    <font>
      <b/>
      <sz val="10"/>
      <color rgb="FFFA7D00"/>
      <name val="Gill Sans MT"/>
      <family val="2"/>
      <scheme val="minor"/>
    </font>
    <font>
      <sz val="10"/>
      <color rgb="FFFA7D00"/>
      <name val="Gill Sans MT"/>
      <family val="2"/>
      <scheme val="minor"/>
    </font>
    <font>
      <b/>
      <sz val="10"/>
      <color theme="0"/>
      <name val="Gill Sans MT"/>
      <family val="2"/>
      <scheme val="minor"/>
    </font>
    <font>
      <sz val="10"/>
      <color rgb="FFFF0000"/>
      <name val="Gill Sans MT"/>
      <family val="2"/>
      <scheme val="minor"/>
    </font>
    <font>
      <i/>
      <sz val="10"/>
      <color rgb="FF7F7F7F"/>
      <name val="Gill Sans MT"/>
      <family val="2"/>
      <scheme val="minor"/>
    </font>
    <font>
      <b/>
      <sz val="10"/>
      <color theme="1"/>
      <name val="Gill Sans MT"/>
      <family val="2"/>
      <scheme val="minor"/>
    </font>
    <font>
      <sz val="10"/>
      <color theme="0"/>
      <name val="Gill Sans MT"/>
      <family val="2"/>
      <scheme val="minor"/>
    </font>
    <font>
      <sz val="9"/>
      <name val="Gill Sans MT"/>
      <family val="3"/>
      <charset val="134"/>
      <scheme val="minor"/>
    </font>
    <font>
      <b/>
      <sz val="28"/>
      <color theme="1"/>
      <name val="Gill Sans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39997558519241921"/>
        <bgColor indexed="64"/>
      </patternFill>
    </fill>
    <fill>
      <patternFill patternType="solid">
        <fgColor theme="3"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0" fontId="0" fillId="33" borderId="0" xfId="0" applyFill="1" applyAlignment="1">
      <alignment horizontal="left"/>
    </xf>
    <xf numFmtId="0" fontId="0" fillId="0" borderId="0" xfId="0" applyNumberFormat="1"/>
    <xf numFmtId="0" fontId="19" fillId="34" borderId="10" xfId="0" applyFont="1" applyFill="1" applyBorder="1" applyAlignment="1">
      <alignment horizontal="center"/>
    </xf>
    <xf numFmtId="0" fontId="19" fillId="34" borderId="11" xfId="0" applyFont="1" applyFill="1" applyBorder="1" applyAlignment="1">
      <alignment horizontal="center"/>
    </xf>
    <xf numFmtId="0" fontId="0" fillId="34" borderId="11" xfId="0" applyFill="1" applyBorder="1"/>
    <xf numFmtId="0" fontId="0" fillId="34" borderId="12" xfId="0" applyFill="1" applyBorder="1"/>
    <xf numFmtId="0" fontId="0" fillId="35" borderId="0" xfId="0" applyFill="1"/>
    <xf numFmtId="166"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2" formatCode="0.00"/>
    </dxf>
    <dxf>
      <numFmt numFmtId="168" formatCode="0.0000"/>
    </dxf>
    <dxf>
      <numFmt numFmtId="167" formatCode="0.00000"/>
    </dxf>
    <dxf>
      <numFmt numFmtId="169" formatCode="0.000"/>
    </dxf>
    <dxf>
      <numFmt numFmtId="2" formatCode="0.00"/>
    </dxf>
    <dxf>
      <numFmt numFmtId="169" formatCode="0.000"/>
    </dxf>
    <dxf>
      <numFmt numFmtId="168" formatCode="0.0000"/>
    </dxf>
    <dxf>
      <numFmt numFmtId="168" formatCode="0.0000"/>
    </dxf>
    <dxf>
      <numFmt numFmtId="167" formatCode="0.00000"/>
    </dxf>
    <dxf>
      <numFmt numFmtId="167" formatCode="0.00000"/>
    </dxf>
    <dxf>
      <numFmt numFmtId="170" formatCode="0.000000"/>
    </dxf>
    <dxf>
      <numFmt numFmtId="170" formatCode="0.000000"/>
    </dxf>
    <dxf>
      <numFmt numFmtId="165" formatCode="_-[$$-409]* #,##0.000_ ;_-[$$-409]* \-#,##0.000\ ;_-[$$-409]* &quot;-&quot;??_ ;_-@_ "/>
    </dxf>
    <dxf>
      <numFmt numFmtId="166" formatCode="_-[$$-409]* #,##0.00_ ;_-[$$-409]* \-#,##0.00\ ;_-[$$-409]* &quot;-&quot;??_ ;_-@_ "/>
    </dxf>
    <dxf>
      <numFmt numFmtId="165" formatCode="_-[$$-409]* #,##0.000_ ;_-[$$-409]* \-#,##0.000\ ;_-[$$-409]* &quot;-&quot;??_ ;_-@_ "/>
    </dxf>
    <dxf>
      <numFmt numFmtId="165" formatCode="_-[$$-409]* #,##0.000_ ;_-[$$-409]* \-#,##0.000\ ;_-[$$-409]* &quot;-&quot;??_ ;_-@_ "/>
    </dxf>
    <dxf>
      <numFmt numFmtId="166" formatCode="_-[$$-409]* #,##0.00_ ;_-[$$-409]* \-#,##0.00\ ;_-[$$-409]* &quot;-&quot;??_ ;_-@_ "/>
    </dxf>
    <dxf>
      <numFmt numFmtId="165" formatCode="_-[$$-409]* #,##0.000_ ;_-[$$-409]* \-#,##0.000\ ;_-[$$-409]* &quot;-&quot;??_ ;_-@_ "/>
    </dxf>
    <dxf>
      <numFmt numFmtId="169" formatCode="0.000"/>
    </dxf>
    <dxf>
      <numFmt numFmtId="2" formatCode="0.00"/>
    </dxf>
    <dxf>
      <numFmt numFmtId="168" formatCode="0.0000"/>
    </dxf>
    <dxf>
      <numFmt numFmtId="167" formatCode="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Sales_Product_Details.xlsx]Insights!PivotTable3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highest selling product_category</a:t>
            </a:r>
          </a:p>
        </c:rich>
      </c:tx>
      <c:layout>
        <c:manualLayout>
          <c:xMode val="edge"/>
          <c:yMode val="edge"/>
          <c:x val="0.2037056553399276"/>
          <c:y val="6.51724329997126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Insights!$A$6:$A$10</c:f>
              <c:strCache>
                <c:ptCount val="4"/>
                <c:pt idx="0">
                  <c:v>Sports</c:v>
                </c:pt>
                <c:pt idx="1">
                  <c:v>Accessories</c:v>
                </c:pt>
                <c:pt idx="2">
                  <c:v>Menswear</c:v>
                </c:pt>
                <c:pt idx="3">
                  <c:v>Womenswear</c:v>
                </c:pt>
              </c:strCache>
            </c:strRef>
          </c:cat>
          <c:val>
            <c:numRef>
              <c:f>Insights!$B$6:$B$10</c:f>
              <c:numCache>
                <c:formatCode>General</c:formatCode>
                <c:ptCount val="4"/>
                <c:pt idx="0">
                  <c:v>2</c:v>
                </c:pt>
                <c:pt idx="1">
                  <c:v>5</c:v>
                </c:pt>
                <c:pt idx="2">
                  <c:v>27</c:v>
                </c:pt>
                <c:pt idx="3">
                  <c:v>28</c:v>
                </c:pt>
              </c:numCache>
            </c:numRef>
          </c:val>
          <c:extLst>
            <c:ext xmlns:c16="http://schemas.microsoft.com/office/drawing/2014/chart" uri="{C3380CC4-5D6E-409C-BE32-E72D297353CC}">
              <c16:uniqueId val="{00000000-3B40-4796-A91B-4FDABFC555E4}"/>
            </c:ext>
          </c:extLst>
        </c:ser>
        <c:dLbls>
          <c:dLblPos val="outEnd"/>
          <c:showLegendKey val="0"/>
          <c:showVal val="1"/>
          <c:showCatName val="0"/>
          <c:showSerName val="0"/>
          <c:showPercent val="0"/>
          <c:showBubbleSize val="0"/>
        </c:dLbls>
        <c:gapWidth val="247"/>
        <c:axId val="1529303680"/>
        <c:axId val="1529302240"/>
      </c:barChart>
      <c:catAx>
        <c:axId val="15293036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9302240"/>
        <c:crosses val="autoZero"/>
        <c:auto val="1"/>
        <c:lblAlgn val="ctr"/>
        <c:lblOffset val="100"/>
        <c:noMultiLvlLbl val="0"/>
      </c:catAx>
      <c:valAx>
        <c:axId val="15293022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930368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Sales_Product_Details.xlsx]Insights!PivotTable4</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reveune according to product_catgory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4540682414701"/>
          <c:y val="0.30902777777777779"/>
          <c:w val="0.70818175853018372"/>
          <c:h val="0.51987605715952168"/>
        </c:manualLayout>
      </c:layout>
      <c:barChart>
        <c:barDir val="col"/>
        <c:grouping val="clustered"/>
        <c:varyColors val="0"/>
        <c:ser>
          <c:idx val="0"/>
          <c:order val="0"/>
          <c:tx>
            <c:strRef>
              <c:f>Insights!$G$5</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Insights!$F$6:$F$10</c:f>
              <c:strCache>
                <c:ptCount val="4"/>
                <c:pt idx="0">
                  <c:v>Sports</c:v>
                </c:pt>
                <c:pt idx="1">
                  <c:v>Accessories</c:v>
                </c:pt>
                <c:pt idx="2">
                  <c:v>Menswear</c:v>
                </c:pt>
                <c:pt idx="3">
                  <c:v>Womenswear</c:v>
                </c:pt>
              </c:strCache>
            </c:strRef>
          </c:cat>
          <c:val>
            <c:numRef>
              <c:f>Insights!$G$6:$G$10</c:f>
              <c:numCache>
                <c:formatCode>0.00</c:formatCode>
                <c:ptCount val="4"/>
                <c:pt idx="0">
                  <c:v>139.27182798467584</c:v>
                </c:pt>
                <c:pt idx="1">
                  <c:v>220.49460431112294</c:v>
                </c:pt>
                <c:pt idx="2">
                  <c:v>933.16672302570782</c:v>
                </c:pt>
                <c:pt idx="3">
                  <c:v>1097.7054211945656</c:v>
                </c:pt>
              </c:numCache>
            </c:numRef>
          </c:val>
          <c:extLst>
            <c:ext xmlns:c16="http://schemas.microsoft.com/office/drawing/2014/chart" uri="{C3380CC4-5D6E-409C-BE32-E72D297353CC}">
              <c16:uniqueId val="{00000000-55CD-4B24-AD92-D758EB07639D}"/>
            </c:ext>
          </c:extLst>
        </c:ser>
        <c:dLbls>
          <c:dLblPos val="outEnd"/>
          <c:showLegendKey val="0"/>
          <c:showVal val="1"/>
          <c:showCatName val="0"/>
          <c:showSerName val="0"/>
          <c:showPercent val="0"/>
          <c:showBubbleSize val="0"/>
        </c:dLbls>
        <c:gapWidth val="164"/>
        <c:overlap val="-22"/>
        <c:axId val="1544902608"/>
        <c:axId val="1544894448"/>
      </c:barChart>
      <c:catAx>
        <c:axId val="1544902608"/>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4448"/>
        <c:crosses val="autoZero"/>
        <c:auto val="1"/>
        <c:lblAlgn val="ctr"/>
        <c:lblOffset val="100"/>
        <c:noMultiLvlLbl val="0"/>
      </c:catAx>
      <c:valAx>
        <c:axId val="1544894448"/>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0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Sales_Product_Details.xlsx]Insights!PivotTable6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according to raw_material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Insights!$G$15</c:f>
              <c:strCache>
                <c:ptCount val="1"/>
                <c:pt idx="0">
                  <c:v>Total</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Insights!$F$16:$F$22</c:f>
              <c:strCache>
                <c:ptCount val="6"/>
                <c:pt idx="0">
                  <c:v>Cashmere</c:v>
                </c:pt>
                <c:pt idx="1">
                  <c:v>Cotton</c:v>
                </c:pt>
                <c:pt idx="2">
                  <c:v>Fabrics</c:v>
                </c:pt>
                <c:pt idx="3">
                  <c:v>Leather</c:v>
                </c:pt>
                <c:pt idx="4">
                  <c:v>Polyester</c:v>
                </c:pt>
                <c:pt idx="5">
                  <c:v>Wool</c:v>
                </c:pt>
              </c:strCache>
            </c:strRef>
          </c:cat>
          <c:val>
            <c:numRef>
              <c:f>Insights!$G$16:$G$22</c:f>
              <c:numCache>
                <c:formatCode>_-[$$-409]* #,##0.00_ ;_-[$$-409]* \-#,##0.00\ ;_-[$$-409]* "-"??_ ;_-@_ </c:formatCode>
                <c:ptCount val="6"/>
                <c:pt idx="0">
                  <c:v>180.50277937778674</c:v>
                </c:pt>
                <c:pt idx="1">
                  <c:v>1238.3157244600773</c:v>
                </c:pt>
                <c:pt idx="2">
                  <c:v>117.30601621265943</c:v>
                </c:pt>
                <c:pt idx="3">
                  <c:v>292.46303511126723</c:v>
                </c:pt>
                <c:pt idx="4">
                  <c:v>129.40592292611478</c:v>
                </c:pt>
                <c:pt idx="5">
                  <c:v>432.64509842816665</c:v>
                </c:pt>
              </c:numCache>
            </c:numRef>
          </c:val>
          <c:extLst>
            <c:ext xmlns:c16="http://schemas.microsoft.com/office/drawing/2014/chart" uri="{C3380CC4-5D6E-409C-BE32-E72D297353CC}">
              <c16:uniqueId val="{00000000-F165-4546-B6CA-89A85B8A47C3}"/>
            </c:ext>
          </c:extLst>
        </c:ser>
        <c:dLbls>
          <c:dLblPos val="outEnd"/>
          <c:showLegendKey val="0"/>
          <c:showVal val="1"/>
          <c:showCatName val="0"/>
          <c:showSerName val="0"/>
          <c:showPercent val="0"/>
          <c:showBubbleSize val="0"/>
        </c:dLbls>
        <c:gapWidth val="100"/>
        <c:overlap val="-24"/>
        <c:axId val="1535468080"/>
        <c:axId val="1535455120"/>
      </c:barChart>
      <c:catAx>
        <c:axId val="1535468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455120"/>
        <c:crosses val="autoZero"/>
        <c:auto val="1"/>
        <c:lblAlgn val="ctr"/>
        <c:lblOffset val="100"/>
        <c:noMultiLvlLbl val="0"/>
      </c:catAx>
      <c:valAx>
        <c:axId val="15354551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46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Sales_Product_Details.xlsx]Insights!PivotTable8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MOST SELLING PRODUCT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tint val="54000"/>
                  <a:alpha val="100000"/>
                  <a:satMod val="105000"/>
                  <a:lumMod val="110000"/>
                </a:schemeClr>
              </a:gs>
              <a:gs pos="100000">
                <a:schemeClr val="accent3">
                  <a:tint val="78000"/>
                  <a:alpha val="92000"/>
                  <a:satMod val="109000"/>
                  <a:lumMod val="100000"/>
                </a:schemeClr>
              </a:gs>
            </a:gsLst>
            <a:lin ang="5400000" scaled="0"/>
          </a:gradFill>
          <a:ln w="9525" cap="flat" cmpd="sng" algn="ctr">
            <a:solidFill>
              <a:schemeClr val="accent3">
                <a:shade val="95000"/>
              </a:schemeClr>
            </a:solidFill>
            <a:round/>
          </a:ln>
          <a:effectLst/>
        </c:spPr>
        <c:marker>
          <c:symbol val="circle"/>
          <c:size val="4"/>
          <c:spPr>
            <a:gradFill rotWithShape="1">
              <a:gsLst>
                <a:gs pos="0">
                  <a:schemeClr val="accent3">
                    <a:tint val="54000"/>
                    <a:alpha val="100000"/>
                    <a:satMod val="105000"/>
                    <a:lumMod val="110000"/>
                  </a:schemeClr>
                </a:gs>
                <a:gs pos="100000">
                  <a:schemeClr val="accent3">
                    <a:tint val="78000"/>
                    <a:alpha val="92000"/>
                    <a:satMod val="109000"/>
                    <a:lumMod val="100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Insights!$F$27</c:f>
              <c:strCache>
                <c:ptCount val="1"/>
                <c:pt idx="0">
                  <c:v>Total</c:v>
                </c:pt>
              </c:strCache>
            </c:strRef>
          </c:tx>
          <c:spPr>
            <a:gradFill rotWithShape="1">
              <a:gsLst>
                <a:gs pos="0">
                  <a:schemeClr val="accent3">
                    <a:tint val="54000"/>
                    <a:alpha val="100000"/>
                    <a:satMod val="105000"/>
                    <a:lumMod val="110000"/>
                  </a:schemeClr>
                </a:gs>
                <a:gs pos="100000">
                  <a:schemeClr val="accent3">
                    <a:tint val="78000"/>
                    <a:alpha val="92000"/>
                    <a:satMod val="109000"/>
                    <a:lumMod val="100000"/>
                  </a:schemeClr>
                </a:gs>
              </a:gsLst>
              <a:lin ang="5400000" scaled="0"/>
            </a:gradFill>
            <a:ln w="9525" cap="flat" cmpd="sng" algn="ctr">
              <a:solidFill>
                <a:schemeClr val="accent3">
                  <a:shade val="95000"/>
                </a:schemeClr>
              </a:solidFill>
              <a:round/>
            </a:ln>
            <a:effectLst/>
          </c:spPr>
          <c:invertIfNegative val="0"/>
          <c:trendline>
            <c:spPr>
              <a:ln w="9525" cap="rnd">
                <a:solidFill>
                  <a:schemeClr val="accent3"/>
                </a:solidFill>
              </a:ln>
              <a:effectLst/>
            </c:spPr>
            <c:trendlineType val="linear"/>
            <c:dispRSqr val="0"/>
            <c:dispEq val="0"/>
          </c:trendline>
          <c:cat>
            <c:strRef>
              <c:f>Insights!$E$28:$E$33</c:f>
              <c:strCache>
                <c:ptCount val="5"/>
                <c:pt idx="0">
                  <c:v>Formal Shirts</c:v>
                </c:pt>
                <c:pt idx="1">
                  <c:v>Pants</c:v>
                </c:pt>
                <c:pt idx="2">
                  <c:v>Pyjamas</c:v>
                </c:pt>
                <c:pt idx="3">
                  <c:v>Knitwear</c:v>
                </c:pt>
                <c:pt idx="4">
                  <c:v>Shorts</c:v>
                </c:pt>
              </c:strCache>
            </c:strRef>
          </c:cat>
          <c:val>
            <c:numRef>
              <c:f>Insights!$F$28:$F$33</c:f>
              <c:numCache>
                <c:formatCode>_-[$$-409]* #,##0.00_ ;_-[$$-409]* \-#,##0.00\ ;_-[$$-409]* "-"??_ ;_-@_ </c:formatCode>
                <c:ptCount val="5"/>
                <c:pt idx="0">
                  <c:v>291.90186364921277</c:v>
                </c:pt>
                <c:pt idx="1">
                  <c:v>212.7563500631465</c:v>
                </c:pt>
                <c:pt idx="2">
                  <c:v>196.45854756386993</c:v>
                </c:pt>
                <c:pt idx="3">
                  <c:v>180.50277937778674</c:v>
                </c:pt>
                <c:pt idx="4">
                  <c:v>177.57052985372604</c:v>
                </c:pt>
              </c:numCache>
            </c:numRef>
          </c:val>
          <c:extLst>
            <c:ext xmlns:c16="http://schemas.microsoft.com/office/drawing/2014/chart" uri="{C3380CC4-5D6E-409C-BE32-E72D297353CC}">
              <c16:uniqueId val="{00000000-7815-49EA-8004-80139631AD5C}"/>
            </c:ext>
          </c:extLst>
        </c:ser>
        <c:dLbls>
          <c:showLegendKey val="0"/>
          <c:showVal val="0"/>
          <c:showCatName val="0"/>
          <c:showSerName val="0"/>
          <c:showPercent val="0"/>
          <c:showBubbleSize val="0"/>
        </c:dLbls>
        <c:gapWidth val="100"/>
        <c:overlap val="-24"/>
        <c:axId val="1544895888"/>
        <c:axId val="1544902128"/>
      </c:barChart>
      <c:catAx>
        <c:axId val="15448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902128"/>
        <c:crosses val="autoZero"/>
        <c:auto val="1"/>
        <c:lblAlgn val="ctr"/>
        <c:lblOffset val="100"/>
        <c:noMultiLvlLbl val="0"/>
      </c:catAx>
      <c:valAx>
        <c:axId val="154490212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4489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Sales_Product_Details.xlsx]Insights!PivotTable9</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REVENUE</a:t>
            </a:r>
            <a:r>
              <a:rPr lang="en-US" sz="1400" baseline="0"/>
              <a:t> ACCORDING TO PLACES</a:t>
            </a:r>
            <a:endParaRPr lang="en-US" sz="1400"/>
          </a:p>
        </c:rich>
      </c:tx>
      <c:layout>
        <c:manualLayout>
          <c:xMode val="edge"/>
          <c:yMode val="edge"/>
          <c:x val="0.10594444444444444"/>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hade val="50000"/>
            </a:schemeClr>
          </a:solidFill>
          <a:ln>
            <a:noFill/>
          </a:ln>
          <a:effectLst>
            <a:outerShdw blurRad="317500" algn="ctr" rotWithShape="0">
              <a:prstClr val="black">
                <a:alpha val="25000"/>
              </a:prstClr>
            </a:outerShdw>
          </a:effectLst>
        </c:spPr>
      </c:pivotFmt>
      <c:pivotFmt>
        <c:idx val="10"/>
        <c:spPr>
          <a:solidFill>
            <a:schemeClr val="accent3">
              <a:shade val="70000"/>
            </a:schemeClr>
          </a:solidFill>
          <a:ln>
            <a:noFill/>
          </a:ln>
          <a:effectLst>
            <a:outerShdw blurRad="317500" algn="ctr" rotWithShape="0">
              <a:prstClr val="black">
                <a:alpha val="25000"/>
              </a:prstClr>
            </a:outerShdw>
          </a:effectLst>
        </c:spPr>
      </c:pivotFmt>
      <c:pivotFmt>
        <c:idx val="11"/>
        <c:spPr>
          <a:solidFill>
            <a:schemeClr val="accent3">
              <a:shade val="90000"/>
            </a:schemeClr>
          </a:solidFill>
          <a:ln>
            <a:noFill/>
          </a:ln>
          <a:effectLst>
            <a:outerShdw blurRad="317500" algn="ctr" rotWithShape="0">
              <a:prstClr val="black">
                <a:alpha val="25000"/>
              </a:prstClr>
            </a:outerShdw>
          </a:effectLst>
        </c:spPr>
      </c:pivotFmt>
      <c:pivotFmt>
        <c:idx val="12"/>
        <c:spPr>
          <a:solidFill>
            <a:schemeClr val="accent3">
              <a:tint val="90000"/>
            </a:schemeClr>
          </a:solidFill>
          <a:ln>
            <a:noFill/>
          </a:ln>
          <a:effectLst>
            <a:outerShdw blurRad="317500" algn="ctr" rotWithShape="0">
              <a:prstClr val="black">
                <a:alpha val="25000"/>
              </a:prstClr>
            </a:outerShdw>
          </a:effectLst>
        </c:spPr>
      </c:pivotFmt>
      <c:pivotFmt>
        <c:idx val="13"/>
        <c:spPr>
          <a:solidFill>
            <a:schemeClr val="accent3">
              <a:tint val="70000"/>
            </a:schemeClr>
          </a:solidFill>
          <a:ln>
            <a:noFill/>
          </a:ln>
          <a:effectLst>
            <a:outerShdw blurRad="317500" algn="ctr" rotWithShape="0">
              <a:prstClr val="black">
                <a:alpha val="25000"/>
              </a:prstClr>
            </a:outerShdw>
          </a:effectLst>
        </c:spPr>
      </c:pivotFmt>
      <c:pivotFmt>
        <c:idx val="14"/>
        <c:spPr>
          <a:solidFill>
            <a:schemeClr val="accent3">
              <a:tint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9608114610673663"/>
          <c:y val="0.23154892096821231"/>
          <c:w val="0.41384842519685039"/>
          <c:h val="0.68974737532808394"/>
        </c:manualLayout>
      </c:layout>
      <c:pieChart>
        <c:varyColors val="1"/>
        <c:ser>
          <c:idx val="0"/>
          <c:order val="0"/>
          <c:tx>
            <c:strRef>
              <c:f>Insights!$J$4</c:f>
              <c:strCache>
                <c:ptCount val="1"/>
                <c:pt idx="0">
                  <c:v>Total</c:v>
                </c:pt>
              </c:strCache>
            </c:strRef>
          </c:tx>
          <c:dPt>
            <c:idx val="0"/>
            <c:bubble3D val="0"/>
            <c:spPr>
              <a:solidFill>
                <a:schemeClr val="accent3">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8D9-460A-876C-CFAFC0662611}"/>
              </c:ext>
            </c:extLst>
          </c:dPt>
          <c:dPt>
            <c:idx val="1"/>
            <c:bubble3D val="0"/>
            <c:spPr>
              <a:solidFill>
                <a:schemeClr val="accent3">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8D9-460A-876C-CFAFC0662611}"/>
              </c:ext>
            </c:extLst>
          </c:dPt>
          <c:dPt>
            <c:idx val="2"/>
            <c:bubble3D val="0"/>
            <c:spPr>
              <a:solidFill>
                <a:schemeClr val="accent3">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8D9-460A-876C-CFAFC0662611}"/>
              </c:ext>
            </c:extLst>
          </c:dPt>
          <c:dPt>
            <c:idx val="3"/>
            <c:bubble3D val="0"/>
            <c:spPr>
              <a:solidFill>
                <a:schemeClr val="accent3">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8D9-460A-876C-CFAFC0662611}"/>
              </c:ext>
            </c:extLst>
          </c:dPt>
          <c:dPt>
            <c:idx val="4"/>
            <c:bubble3D val="0"/>
            <c:spPr>
              <a:solidFill>
                <a:schemeClr val="accent3">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8D9-460A-876C-CFAFC0662611}"/>
              </c:ext>
            </c:extLst>
          </c:dPt>
          <c:dPt>
            <c:idx val="5"/>
            <c:bubble3D val="0"/>
            <c:spPr>
              <a:solidFill>
                <a:schemeClr val="accent3">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8D9-460A-876C-CFAFC06626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Insights!$I$5:$I$11</c:f>
              <c:strCache>
                <c:ptCount val="6"/>
                <c:pt idx="0">
                  <c:v>Wakefield</c:v>
                </c:pt>
                <c:pt idx="1">
                  <c:v>Truro</c:v>
                </c:pt>
                <c:pt idx="2">
                  <c:v>Wells</c:v>
                </c:pt>
                <c:pt idx="3">
                  <c:v>York</c:v>
                </c:pt>
                <c:pt idx="4">
                  <c:v>Winchester</c:v>
                </c:pt>
                <c:pt idx="5">
                  <c:v>Worcester</c:v>
                </c:pt>
              </c:strCache>
            </c:strRef>
          </c:cat>
          <c:val>
            <c:numRef>
              <c:f>Insights!$J$5:$J$11</c:f>
              <c:numCache>
                <c:formatCode>0.00</c:formatCode>
                <c:ptCount val="6"/>
                <c:pt idx="0">
                  <c:v>828.92670016484192</c:v>
                </c:pt>
                <c:pt idx="1">
                  <c:v>404.4334135258888</c:v>
                </c:pt>
                <c:pt idx="2">
                  <c:v>330.16535183887669</c:v>
                </c:pt>
                <c:pt idx="3">
                  <c:v>309.75737830648194</c:v>
                </c:pt>
                <c:pt idx="4">
                  <c:v>302.07013635305793</c:v>
                </c:pt>
                <c:pt idx="5">
                  <c:v>215.2855963269248</c:v>
                </c:pt>
              </c:numCache>
            </c:numRef>
          </c:val>
          <c:extLst>
            <c:ext xmlns:c16="http://schemas.microsoft.com/office/drawing/2014/chart" uri="{C3380CC4-5D6E-409C-BE32-E72D297353CC}">
              <c16:uniqueId val="{0000000C-28D9-460A-876C-CFAFC066261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Sales_Product_Details.xlsx]Insights!PivotTable11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CATEGORY SOLD IN SPECIFIC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w="9525">
              <a:solidFill>
                <a:schemeClr val="accent4"/>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Insights!$J$27:$J$28</c:f>
              <c:strCache>
                <c:ptCount val="1"/>
                <c:pt idx="0">
                  <c:v>Sports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Insights!$I$29:$I$35</c:f>
              <c:strCache>
                <c:ptCount val="6"/>
                <c:pt idx="0">
                  <c:v>Worcester</c:v>
                </c:pt>
                <c:pt idx="1">
                  <c:v>Winchester</c:v>
                </c:pt>
                <c:pt idx="2">
                  <c:v>York</c:v>
                </c:pt>
                <c:pt idx="3">
                  <c:v>Wells</c:v>
                </c:pt>
                <c:pt idx="4">
                  <c:v>Truro</c:v>
                </c:pt>
                <c:pt idx="5">
                  <c:v>Wakefield</c:v>
                </c:pt>
              </c:strCache>
            </c:strRef>
          </c:cat>
          <c:val>
            <c:numRef>
              <c:f>Insights!$J$29:$J$35</c:f>
              <c:numCache>
                <c:formatCode>General</c:formatCode>
                <c:ptCount val="6"/>
                <c:pt idx="2">
                  <c:v>117.30601621265943</c:v>
                </c:pt>
                <c:pt idx="4">
                  <c:v>21.965811772016419</c:v>
                </c:pt>
              </c:numCache>
            </c:numRef>
          </c:val>
          <c:extLst>
            <c:ext xmlns:c16="http://schemas.microsoft.com/office/drawing/2014/chart" uri="{C3380CC4-5D6E-409C-BE32-E72D297353CC}">
              <c16:uniqueId val="{00000000-50AA-4730-AE5D-688572F87AB1}"/>
            </c:ext>
          </c:extLst>
        </c:ser>
        <c:ser>
          <c:idx val="1"/>
          <c:order val="1"/>
          <c:tx>
            <c:strRef>
              <c:f>Insights!$K$27:$K$28</c:f>
              <c:strCache>
                <c:ptCount val="1"/>
                <c:pt idx="0">
                  <c:v>Accessories</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Insights!$I$29:$I$35</c:f>
              <c:strCache>
                <c:ptCount val="6"/>
                <c:pt idx="0">
                  <c:v>Worcester</c:v>
                </c:pt>
                <c:pt idx="1">
                  <c:v>Winchester</c:v>
                </c:pt>
                <c:pt idx="2">
                  <c:v>York</c:v>
                </c:pt>
                <c:pt idx="3">
                  <c:v>Wells</c:v>
                </c:pt>
                <c:pt idx="4">
                  <c:v>Truro</c:v>
                </c:pt>
                <c:pt idx="5">
                  <c:v>Wakefield</c:v>
                </c:pt>
              </c:strCache>
            </c:strRef>
          </c:cat>
          <c:val>
            <c:numRef>
              <c:f>Insights!$K$29:$K$35</c:f>
              <c:numCache>
                <c:formatCode>General</c:formatCode>
                <c:ptCount val="6"/>
                <c:pt idx="3">
                  <c:v>149.66257246108995</c:v>
                </c:pt>
                <c:pt idx="5">
                  <c:v>70.83203185003299</c:v>
                </c:pt>
              </c:numCache>
            </c:numRef>
          </c:val>
          <c:extLst>
            <c:ext xmlns:c16="http://schemas.microsoft.com/office/drawing/2014/chart" uri="{C3380CC4-5D6E-409C-BE32-E72D297353CC}">
              <c16:uniqueId val="{0000000C-50AA-4730-AE5D-688572F87AB1}"/>
            </c:ext>
          </c:extLst>
        </c:ser>
        <c:ser>
          <c:idx val="2"/>
          <c:order val="2"/>
          <c:tx>
            <c:strRef>
              <c:f>Insights!$L$27:$L$28</c:f>
              <c:strCache>
                <c:ptCount val="1"/>
                <c:pt idx="0">
                  <c:v>Menswear</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Insights!$I$29:$I$35</c:f>
              <c:strCache>
                <c:ptCount val="6"/>
                <c:pt idx="0">
                  <c:v>Worcester</c:v>
                </c:pt>
                <c:pt idx="1">
                  <c:v>Winchester</c:v>
                </c:pt>
                <c:pt idx="2">
                  <c:v>York</c:v>
                </c:pt>
                <c:pt idx="3">
                  <c:v>Wells</c:v>
                </c:pt>
                <c:pt idx="4">
                  <c:v>Truro</c:v>
                </c:pt>
                <c:pt idx="5">
                  <c:v>Wakefield</c:v>
                </c:pt>
              </c:strCache>
            </c:strRef>
          </c:cat>
          <c:val>
            <c:numRef>
              <c:f>Insights!$L$29:$L$35</c:f>
              <c:numCache>
                <c:formatCode>General</c:formatCode>
                <c:ptCount val="6"/>
                <c:pt idx="0">
                  <c:v>215.2855963269248</c:v>
                </c:pt>
                <c:pt idx="1">
                  <c:v>89.740210372419341</c:v>
                </c:pt>
                <c:pt idx="2">
                  <c:v>68.213849072494583</c:v>
                </c:pt>
                <c:pt idx="3">
                  <c:v>66.671559310982772</c:v>
                </c:pt>
                <c:pt idx="4">
                  <c:v>94.86663287903869</c:v>
                </c:pt>
                <c:pt idx="5">
                  <c:v>398.38887506384771</c:v>
                </c:pt>
              </c:numCache>
            </c:numRef>
          </c:val>
          <c:extLst>
            <c:ext xmlns:c16="http://schemas.microsoft.com/office/drawing/2014/chart" uri="{C3380CC4-5D6E-409C-BE32-E72D297353CC}">
              <c16:uniqueId val="{0000000E-50AA-4730-AE5D-688572F87AB1}"/>
            </c:ext>
          </c:extLst>
        </c:ser>
        <c:ser>
          <c:idx val="3"/>
          <c:order val="3"/>
          <c:tx>
            <c:strRef>
              <c:f>Insights!$M$27:$M$28</c:f>
              <c:strCache>
                <c:ptCount val="1"/>
                <c:pt idx="0">
                  <c:v>Womenswear</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Insights!$I$29:$I$35</c:f>
              <c:strCache>
                <c:ptCount val="6"/>
                <c:pt idx="0">
                  <c:v>Worcester</c:v>
                </c:pt>
                <c:pt idx="1">
                  <c:v>Winchester</c:v>
                </c:pt>
                <c:pt idx="2">
                  <c:v>York</c:v>
                </c:pt>
                <c:pt idx="3">
                  <c:v>Wells</c:v>
                </c:pt>
                <c:pt idx="4">
                  <c:v>Truro</c:v>
                </c:pt>
                <c:pt idx="5">
                  <c:v>Wakefield</c:v>
                </c:pt>
              </c:strCache>
            </c:strRef>
          </c:cat>
          <c:val>
            <c:numRef>
              <c:f>Insights!$M$29:$M$35</c:f>
              <c:numCache>
                <c:formatCode>General</c:formatCode>
                <c:ptCount val="6"/>
                <c:pt idx="1">
                  <c:v>212.32992598063862</c:v>
                </c:pt>
                <c:pt idx="2">
                  <c:v>124.23751302132794</c:v>
                </c:pt>
                <c:pt idx="3">
                  <c:v>113.83122006680398</c:v>
                </c:pt>
                <c:pt idx="4">
                  <c:v>287.60096887483371</c:v>
                </c:pt>
                <c:pt idx="5">
                  <c:v>359.70579325096128</c:v>
                </c:pt>
              </c:numCache>
            </c:numRef>
          </c:val>
          <c:extLst>
            <c:ext xmlns:c16="http://schemas.microsoft.com/office/drawing/2014/chart" uri="{C3380CC4-5D6E-409C-BE32-E72D297353CC}">
              <c16:uniqueId val="{0000000F-50AA-4730-AE5D-688572F87AB1}"/>
            </c:ext>
          </c:extLst>
        </c:ser>
        <c:dLbls>
          <c:dLblPos val="ctr"/>
          <c:showLegendKey val="0"/>
          <c:showVal val="0"/>
          <c:showCatName val="0"/>
          <c:showSerName val="0"/>
          <c:showPercent val="0"/>
          <c:showBubbleSize val="0"/>
        </c:dLbls>
        <c:gapWidth val="150"/>
        <c:overlap val="100"/>
        <c:axId val="1846378848"/>
        <c:axId val="1846364928"/>
      </c:barChart>
      <c:catAx>
        <c:axId val="1846378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64928"/>
        <c:crosses val="autoZero"/>
        <c:auto val="1"/>
        <c:lblAlgn val="ctr"/>
        <c:lblOffset val="100"/>
        <c:noMultiLvlLbl val="0"/>
      </c:catAx>
      <c:valAx>
        <c:axId val="184636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7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381000</xdr:colOff>
      <xdr:row>2</xdr:row>
      <xdr:rowOff>28575</xdr:rowOff>
    </xdr:from>
    <xdr:to>
      <xdr:col>28</xdr:col>
      <xdr:colOff>485775</xdr:colOff>
      <xdr:row>15</xdr:row>
      <xdr:rowOff>47624</xdr:rowOff>
    </xdr:to>
    <xdr:graphicFrame macro="">
      <xdr:nvGraphicFramePr>
        <xdr:cNvPr id="2" name="Chart 1">
          <a:extLst>
            <a:ext uri="{FF2B5EF4-FFF2-40B4-BE49-F238E27FC236}">
              <a16:creationId xmlns:a16="http://schemas.microsoft.com/office/drawing/2014/main" id="{5DE7ED0E-A49F-4B5D-B7F3-3386780E3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123824</xdr:colOff>
      <xdr:row>1</xdr:row>
      <xdr:rowOff>171451</xdr:rowOff>
    </xdr:from>
    <xdr:to>
      <xdr:col>19</xdr:col>
      <xdr:colOff>609599</xdr:colOff>
      <xdr:row>16</xdr:row>
      <xdr:rowOff>19051</xdr:rowOff>
    </xdr:to>
    <xdr:graphicFrame macro="">
      <xdr:nvGraphicFramePr>
        <xdr:cNvPr id="3" name="Chart 2">
          <a:extLst>
            <a:ext uri="{FF2B5EF4-FFF2-40B4-BE49-F238E27FC236}">
              <a16:creationId xmlns:a16="http://schemas.microsoft.com/office/drawing/2014/main" id="{D3EE4E2A-1679-4CEA-BDD7-8BC7B93BA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180974</xdr:colOff>
      <xdr:row>17</xdr:row>
      <xdr:rowOff>104775</xdr:rowOff>
    </xdr:from>
    <xdr:to>
      <xdr:col>10</xdr:col>
      <xdr:colOff>371475</xdr:colOff>
      <xdr:row>34</xdr:row>
      <xdr:rowOff>85725</xdr:rowOff>
    </xdr:to>
    <xdr:graphicFrame macro="">
      <xdr:nvGraphicFramePr>
        <xdr:cNvPr id="4" name="Chart 3">
          <a:extLst>
            <a:ext uri="{FF2B5EF4-FFF2-40B4-BE49-F238E27FC236}">
              <a16:creationId xmlns:a16="http://schemas.microsoft.com/office/drawing/2014/main" id="{A3F7B4A8-DF6A-4395-A2C2-81E55629E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590549</xdr:colOff>
      <xdr:row>17</xdr:row>
      <xdr:rowOff>9525</xdr:rowOff>
    </xdr:from>
    <xdr:to>
      <xdr:col>19</xdr:col>
      <xdr:colOff>333374</xdr:colOff>
      <xdr:row>34</xdr:row>
      <xdr:rowOff>57150</xdr:rowOff>
    </xdr:to>
    <xdr:graphicFrame macro="">
      <xdr:nvGraphicFramePr>
        <xdr:cNvPr id="5" name="Chart 4">
          <a:extLst>
            <a:ext uri="{FF2B5EF4-FFF2-40B4-BE49-F238E27FC236}">
              <a16:creationId xmlns:a16="http://schemas.microsoft.com/office/drawing/2014/main" id="{434D52DD-AC4C-43A6-95DB-7912EE390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2</xdr:row>
      <xdr:rowOff>19049</xdr:rowOff>
    </xdr:from>
    <xdr:to>
      <xdr:col>10</xdr:col>
      <xdr:colOff>514350</xdr:colOff>
      <xdr:row>16</xdr:row>
      <xdr:rowOff>66674</xdr:rowOff>
    </xdr:to>
    <xdr:graphicFrame macro="">
      <xdr:nvGraphicFramePr>
        <xdr:cNvPr id="6" name="Chart 5">
          <a:extLst>
            <a:ext uri="{FF2B5EF4-FFF2-40B4-BE49-F238E27FC236}">
              <a16:creationId xmlns:a16="http://schemas.microsoft.com/office/drawing/2014/main" id="{C720668B-75CC-435D-A4CC-40366B2B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38099</xdr:colOff>
      <xdr:row>17</xdr:row>
      <xdr:rowOff>38100</xdr:rowOff>
    </xdr:from>
    <xdr:to>
      <xdr:col>28</xdr:col>
      <xdr:colOff>419100</xdr:colOff>
      <xdr:row>32</xdr:row>
      <xdr:rowOff>114300</xdr:rowOff>
    </xdr:to>
    <xdr:graphicFrame macro="">
      <xdr:nvGraphicFramePr>
        <xdr:cNvPr id="7" name="Chart 6">
          <a:extLst>
            <a:ext uri="{FF2B5EF4-FFF2-40B4-BE49-F238E27FC236}">
              <a16:creationId xmlns:a16="http://schemas.microsoft.com/office/drawing/2014/main" id="{9A91BD7C-6975-48A9-86E1-0AB9C3FB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3</xdr:row>
      <xdr:rowOff>57151</xdr:rowOff>
    </xdr:from>
    <xdr:to>
      <xdr:col>3</xdr:col>
      <xdr:colOff>76200</xdr:colOff>
      <xdr:row>11</xdr:row>
      <xdr:rowOff>171451</xdr:rowOff>
    </xdr:to>
    <mc:AlternateContent xmlns:mc="http://schemas.openxmlformats.org/markup-compatibility/2006">
      <mc:Choice xmlns:a14="http://schemas.microsoft.com/office/drawing/2010/main" Requires="a14">
        <xdr:graphicFrame macro="">
          <xdr:nvGraphicFramePr>
            <xdr:cNvPr id="15" name="Product_Category">
              <a:extLst>
                <a:ext uri="{FF2B5EF4-FFF2-40B4-BE49-F238E27FC236}">
                  <a16:creationId xmlns:a16="http://schemas.microsoft.com/office/drawing/2014/main" id="{8CC7E5DB-735E-6082-8DD4-994B01C0487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6200" y="981076"/>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171451</xdr:rowOff>
    </xdr:from>
    <xdr:to>
      <xdr:col>3</xdr:col>
      <xdr:colOff>0</xdr:colOff>
      <xdr:row>23</xdr:row>
      <xdr:rowOff>95251</xdr:rowOff>
    </xdr:to>
    <mc:AlternateContent xmlns:mc="http://schemas.openxmlformats.org/markup-compatibility/2006">
      <mc:Choice xmlns:a14="http://schemas.microsoft.com/office/drawing/2010/main" Requires="a14">
        <xdr:graphicFrame macro="">
          <xdr:nvGraphicFramePr>
            <xdr:cNvPr id="17" name="Raw_Material">
              <a:extLst>
                <a:ext uri="{FF2B5EF4-FFF2-40B4-BE49-F238E27FC236}">
                  <a16:creationId xmlns:a16="http://schemas.microsoft.com/office/drawing/2014/main" id="{49E26937-A27E-C09D-1E7C-6A3F0AC9B4C5}"/>
                </a:ext>
              </a:extLst>
            </xdr:cNvPr>
            <xdr:cNvGraphicFramePr/>
          </xdr:nvGraphicFramePr>
          <xdr:xfrm>
            <a:off x="0" y="0"/>
            <a:ext cx="0" cy="0"/>
          </xdr:xfrm>
          <a:graphic>
            <a:graphicData uri="http://schemas.microsoft.com/office/drawing/2010/slicer">
              <sle:slicer xmlns:sle="http://schemas.microsoft.com/office/drawing/2010/slicer" name="Raw_Material"/>
            </a:graphicData>
          </a:graphic>
        </xdr:graphicFrame>
      </mc:Choice>
      <mc:Fallback>
        <xdr:sp macro="" textlink="">
          <xdr:nvSpPr>
            <xdr:cNvPr id="0" name=""/>
            <xdr:cNvSpPr>
              <a:spLocks noTextEdit="1"/>
            </xdr:cNvSpPr>
          </xdr:nvSpPr>
          <xdr:spPr>
            <a:xfrm>
              <a:off x="0" y="2809876"/>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38100</xdr:rowOff>
    </xdr:from>
    <xdr:to>
      <xdr:col>3</xdr:col>
      <xdr:colOff>0</xdr:colOff>
      <xdr:row>34</xdr:row>
      <xdr:rowOff>180975</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BAB88AFC-20C2-9A46-4D8F-B94A52025E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962525"/>
              <a:ext cx="1828800"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 refreshedDate="45649.564213888887" createdVersion="8" refreshedVersion="8" minRefreshableVersion="3" recordCount="30" xr:uid="{4896D2AD-FB2F-4CFF-B31C-6F8BC4D73771}">
  <cacheSource type="worksheet">
    <worksheetSource ref="A1:N31" sheet="First model"/>
  </cacheSource>
  <cacheFields count="14">
    <cacheField name="converted_dates" numFmtId="14">
      <sharedItems containsSemiMixedTypes="0" containsNonDate="0" containsDate="1" containsString="0" minDate="2021-06-01T00:00:00" maxDate="2021-07-01T00:00:00" count="3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sharedItems>
    </cacheField>
    <cacheField name="Date" numFmtId="0">
      <sharedItems containsSemiMixedTypes="0" containsString="0" containsNumber="1" containsInteger="1" minValue="20210601" maxValue="20210630" count="30">
        <n v="20210601"/>
        <n v="20210602"/>
        <n v="20210603"/>
        <n v="20210604"/>
        <n v="20210605"/>
        <n v="20210606"/>
        <n v="20210607"/>
        <n v="20210608"/>
        <n v="20210609"/>
        <n v="20210610"/>
        <n v="20210611"/>
        <n v="20210612"/>
        <n v="20210613"/>
        <n v="20210614"/>
        <n v="20210615"/>
        <n v="20210616"/>
        <n v="20210617"/>
        <n v="20210618"/>
        <n v="20210619"/>
        <n v="20210620"/>
        <n v="20210621"/>
        <n v="20210622"/>
        <n v="20210623"/>
        <n v="20210624"/>
        <n v="20210625"/>
        <n v="20210626"/>
        <n v="20210627"/>
        <n v="20210628"/>
        <n v="20210629"/>
        <n v="20210630"/>
      </sharedItems>
    </cacheField>
    <cacheField name="Customer_ID" numFmtId="0">
      <sharedItems containsSemiMixedTypes="0" containsString="0" containsNumber="1" containsInteger="1" minValue="9" maxValue="99" count="23">
        <n v="98"/>
        <n v="92"/>
        <n v="99"/>
        <n v="66"/>
        <n v="97"/>
        <n v="45"/>
        <n v="81"/>
        <n v="47"/>
        <n v="24"/>
        <n v="10"/>
        <n v="55"/>
        <n v="44"/>
        <n v="31"/>
        <n v="34"/>
        <n v="90"/>
        <n v="12"/>
        <n v="9"/>
        <n v="89"/>
        <n v="32"/>
        <n v="15"/>
        <n v="56"/>
        <n v="13"/>
        <n v="91"/>
      </sharedItems>
    </cacheField>
    <cacheField name="Product_ID" numFmtId="0">
      <sharedItems containsSemiMixedTypes="0" containsString="0" containsNumber="1" containsInteger="1" minValue="251" maxValue="357" count="23">
        <n v="321"/>
        <n v="261"/>
        <n v="264"/>
        <n v="251"/>
        <n v="304"/>
        <n v="357"/>
        <n v="258"/>
        <n v="260"/>
        <n v="263"/>
        <n v="265"/>
        <n v="286"/>
        <n v="291"/>
        <n v="274"/>
        <n v="276"/>
        <n v="280"/>
        <n v="273"/>
        <n v="336"/>
        <n v="293"/>
        <n v="285"/>
        <n v="277"/>
        <n v="278"/>
        <n v="288"/>
        <n v="262"/>
      </sharedItems>
    </cacheField>
    <cacheField name="Quantity" numFmtId="0">
      <sharedItems containsSemiMixedTypes="0" containsString="0" containsNumber="1" containsInteger="1" minValue="1" maxValue="4" count="4">
        <n v="1"/>
        <n v="4"/>
        <n v="3"/>
        <n v="2"/>
      </sharedItems>
    </cacheField>
    <cacheField name="Unit_Price" numFmtId="0">
      <sharedItems containsSemiMixedTypes="0" containsString="0" containsNumber="1" minValue="21.965811772016419" maxValue="117.30601621265943" count="30">
        <n v="117.30601621265943"/>
        <n v="32.272403315518879"/>
        <n v="36.193364036721427"/>
        <n v="29.913403457473116"/>
        <n v="41.843430479571737"/>
        <n v="49.887524153696646"/>
        <n v="35.416015925016495"/>
        <n v="29.084205326904204"/>
        <n v="44.498077337370162"/>
        <n v="38.497396846115628"/>
        <n v="27.048956009592828"/>
        <n v="28.540899236224128"/>
        <n v="34.742913210945929"/>
        <n v="27.028571147255814"/>
        <n v="34.792452547579884"/>
        <n v="43.871536997474955"/>
        <n v="51.968243851005795"/>
        <n v="33.931774843538577"/>
        <n v="41.412504340442645"/>
        <n v="38.51621801369069"/>
        <n v="21.965811772016419"/>
        <n v="38.718839537554501"/>
        <n v="36.190458371631145"/>
        <n v="54.994304962720001"/>
        <n v="50.795957342415619"/>
        <n v="47.433316439519345"/>
        <n v="50.002619028127853"/>
        <n v="33.470935861548654"/>
        <n v="32.745506625036533"/>
        <n v="31.879106763402888"/>
      </sharedItems>
    </cacheField>
    <cacheField name="Sales_Revenue" numFmtId="0">
      <sharedItems containsSemiMixedTypes="0" containsString="0" containsNumber="1" minValue="21.965811772016419" maxValue="175.48614798989982" count="30">
        <n v="117.30601621265943"/>
        <n v="129.08961326207552"/>
        <n v="36.193364036721427"/>
        <n v="89.740210372419341"/>
        <n v="41.843430479571737"/>
        <n v="149.66257246108995"/>
        <n v="70.83203185003299"/>
        <n v="29.084205326904204"/>
        <n v="133.4942320121105"/>
        <n v="115.49219053834688"/>
        <n v="108.19582403837131"/>
        <n v="85.622697708672376"/>
        <n v="34.742913210945929"/>
        <n v="81.085713441767439"/>
        <n v="34.792452547579884"/>
        <n v="175.48614798989982"/>
        <n v="51.968243851005795"/>
        <n v="135.72709937415431"/>
        <n v="124.23751302132794"/>
        <n v="38.51621801369069"/>
        <n v="21.965811772016419"/>
        <n v="77.437679075109003"/>
        <n v="108.57137511489344"/>
        <n v="54.994304962720001"/>
        <n v="101.59191468483124"/>
        <n v="94.86663287903869"/>
        <n v="50.002619028127853"/>
        <n v="33.470935861548654"/>
        <n v="32.745506625036533"/>
        <n v="31.879106763402888"/>
      </sharedItems>
    </cacheField>
    <cacheField name="Product_Description" numFmtId="0">
      <sharedItems count="18">
        <s v="Cycling Jerseys"/>
        <s v="Casual Shirts"/>
        <s v="Jeans"/>
        <s v="Shorts"/>
        <s v="Belts"/>
        <s v="Ties"/>
        <s v="Polo Shirts"/>
        <s v="Tshirts"/>
        <s v="Formal Shirts"/>
        <s v="Knitwear"/>
        <s v="Suits"/>
        <s v="Sweats"/>
        <s v="Pants"/>
        <s v="GolfShoes"/>
        <s v="Dress"/>
        <s v="Coats"/>
        <s v="Underwear"/>
        <s v="Pyjamas"/>
      </sharedItems>
    </cacheField>
    <cacheField name="Product_Category" numFmtId="0">
      <sharedItems count="4">
        <s v="Sports"/>
        <s v="Menswear"/>
        <s v="Womenswear"/>
        <s v="Accessories"/>
      </sharedItems>
    </cacheField>
    <cacheField name="Product_Line" numFmtId="0">
      <sharedItems count="4">
        <s v="Tops"/>
        <s v="Trousers"/>
        <s v="Leathers"/>
        <s v="Shoes"/>
      </sharedItems>
    </cacheField>
    <cacheField name="Raw_Material" numFmtId="0">
      <sharedItems count="6">
        <s v="Fabrics"/>
        <s v="Cotton"/>
        <s v="Leather"/>
        <s v="Wool"/>
        <s v="Cashmere"/>
        <s v="Polyester"/>
      </sharedItems>
    </cacheField>
    <cacheField name="Region" numFmtId="0">
      <sharedItems count="6">
        <s v="York"/>
        <s v="Worcester"/>
        <s v="Winchester"/>
        <s v="Wells"/>
        <s v="Wakefield"/>
        <s v="Truro"/>
      </sharedItems>
    </cacheField>
    <cacheField name="Latitude" numFmtId="0">
      <sharedItems containsSemiMixedTypes="0" containsString="0" containsNumber="1" minValue="50.259998000000003" maxValue="53.958331999999999"/>
    </cacheField>
    <cacheField name="Longitude" numFmtId="0">
      <sharedItems containsSemiMixedTypes="0" containsString="0" containsNumber="1" minValue="-5.0510000000000002" maxValue="-1.0802780000000001"/>
    </cacheField>
  </cacheFields>
  <extLst>
    <ext xmlns:x14="http://schemas.microsoft.com/office/spreadsheetml/2009/9/main" uri="{725AE2AE-9491-48be-B2B4-4EB974FC3084}">
      <x14:pivotCacheDefinition pivotCacheId="13167129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 refreshedDate="45649.575112384256" createdVersion="8" refreshedVersion="8" minRefreshableVersion="3" recordCount="30" xr:uid="{F87139E3-32EF-4D9A-8CF2-A7C7827922BC}">
  <cacheSource type="worksheet">
    <worksheetSource ref="D1:N31" sheet="First model"/>
  </cacheSource>
  <cacheFields count="11">
    <cacheField name="Product_ID" numFmtId="0">
      <sharedItems containsSemiMixedTypes="0" containsString="0" containsNumber="1" containsInteger="1" minValue="251" maxValue="357"/>
    </cacheField>
    <cacheField name="Quantity" numFmtId="0">
      <sharedItems containsSemiMixedTypes="0" containsString="0" containsNumber="1" containsInteger="1" minValue="1" maxValue="4"/>
    </cacheField>
    <cacheField name="Unit_Price" numFmtId="164">
      <sharedItems containsSemiMixedTypes="0" containsString="0" containsNumber="1" minValue="21.965811772016419" maxValue="117.30601621265943"/>
    </cacheField>
    <cacheField name="Sales_Revenue" numFmtId="164">
      <sharedItems containsSemiMixedTypes="0" containsString="0" containsNumber="1" minValue="21.965811772016419" maxValue="175.48614798989982" count="30">
        <n v="117.30601621265943"/>
        <n v="129.08961326207552"/>
        <n v="36.193364036721427"/>
        <n v="89.740210372419341"/>
        <n v="41.843430479571737"/>
        <n v="149.66257246108995"/>
        <n v="70.83203185003299"/>
        <n v="29.084205326904204"/>
        <n v="133.4942320121105"/>
        <n v="115.49219053834688"/>
        <n v="108.19582403837131"/>
        <n v="85.622697708672376"/>
        <n v="34.742913210945929"/>
        <n v="81.085713441767439"/>
        <n v="34.792452547579884"/>
        <n v="175.48614798989982"/>
        <n v="51.968243851005795"/>
        <n v="135.72709937415431"/>
        <n v="124.23751302132794"/>
        <n v="38.51621801369069"/>
        <n v="21.965811772016419"/>
        <n v="77.437679075109003"/>
        <n v="108.57137511489344"/>
        <n v="54.994304962720001"/>
        <n v="101.59191468483124"/>
        <n v="94.86663287903869"/>
        <n v="50.002619028127853"/>
        <n v="33.470935861548654"/>
        <n v="32.745506625036533"/>
        <n v="31.879106763402888"/>
      </sharedItems>
    </cacheField>
    <cacheField name="Product_Description" numFmtId="0">
      <sharedItems count="18">
        <s v="Cycling Jerseys"/>
        <s v="Casual Shirts"/>
        <s v="Jeans"/>
        <s v="Shorts"/>
        <s v="Belts"/>
        <s v="Ties"/>
        <s v="Polo Shirts"/>
        <s v="Tshirts"/>
        <s v="Formal Shirts"/>
        <s v="Knitwear"/>
        <s v="Suits"/>
        <s v="Sweats"/>
        <s v="Pants"/>
        <s v="GolfShoes"/>
        <s v="Dress"/>
        <s v="Coats"/>
        <s v="Underwear"/>
        <s v="Pyjamas"/>
      </sharedItems>
    </cacheField>
    <cacheField name="Product_Category" numFmtId="0">
      <sharedItems count="4">
        <s v="Sports"/>
        <s v="Menswear"/>
        <s v="Womenswear"/>
        <s v="Accessories"/>
      </sharedItems>
    </cacheField>
    <cacheField name="Product_Line" numFmtId="0">
      <sharedItems/>
    </cacheField>
    <cacheField name="Raw_Material" numFmtId="0">
      <sharedItems count="6">
        <s v="Fabrics"/>
        <s v="Cotton"/>
        <s v="Leather"/>
        <s v="Wool"/>
        <s v="Cashmere"/>
        <s v="Polyester"/>
      </sharedItems>
    </cacheField>
    <cacheField name="Region" numFmtId="0">
      <sharedItems/>
    </cacheField>
    <cacheField name="Latitude" numFmtId="0">
      <sharedItems containsSemiMixedTypes="0" containsString="0" containsNumber="1" minValue="50.259998000000003" maxValue="53.958331999999999"/>
    </cacheField>
    <cacheField name="Longitude" numFmtId="0">
      <sharedItems containsSemiMixedTypes="0" containsString="0" containsNumber="1" minValue="-5.0510000000000002" maxValue="-1.080278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x v="0"/>
    <x v="0"/>
    <x v="0"/>
    <x v="0"/>
    <x v="0"/>
    <n v="53.958331999999999"/>
    <n v="-1.0802780000000001"/>
  </r>
  <r>
    <x v="1"/>
    <x v="1"/>
    <x v="1"/>
    <x v="1"/>
    <x v="1"/>
    <x v="1"/>
    <x v="1"/>
    <x v="1"/>
    <x v="1"/>
    <x v="0"/>
    <x v="1"/>
    <x v="1"/>
    <n v="52.192000999999998"/>
    <n v="-2.2200000000000002"/>
  </r>
  <r>
    <x v="2"/>
    <x v="2"/>
    <x v="1"/>
    <x v="2"/>
    <x v="0"/>
    <x v="2"/>
    <x v="2"/>
    <x v="1"/>
    <x v="1"/>
    <x v="0"/>
    <x v="1"/>
    <x v="1"/>
    <n v="52.192000999999998"/>
    <n v="-2.2200000000000002"/>
  </r>
  <r>
    <x v="3"/>
    <x v="3"/>
    <x v="2"/>
    <x v="3"/>
    <x v="2"/>
    <x v="3"/>
    <x v="3"/>
    <x v="2"/>
    <x v="1"/>
    <x v="1"/>
    <x v="1"/>
    <x v="2"/>
    <n v="51.063201999999997"/>
    <n v="-1.3080000000000001"/>
  </r>
  <r>
    <x v="4"/>
    <x v="4"/>
    <x v="3"/>
    <x v="3"/>
    <x v="0"/>
    <x v="4"/>
    <x v="4"/>
    <x v="3"/>
    <x v="2"/>
    <x v="1"/>
    <x v="1"/>
    <x v="2"/>
    <n v="51.063201999999997"/>
    <n v="-1.3080000000000001"/>
  </r>
  <r>
    <x v="5"/>
    <x v="5"/>
    <x v="4"/>
    <x v="4"/>
    <x v="2"/>
    <x v="5"/>
    <x v="5"/>
    <x v="4"/>
    <x v="3"/>
    <x v="2"/>
    <x v="2"/>
    <x v="3"/>
    <n v="51.209000000000003"/>
    <n v="-2.6469999999999998"/>
  </r>
  <r>
    <x v="6"/>
    <x v="6"/>
    <x v="5"/>
    <x v="5"/>
    <x v="3"/>
    <x v="6"/>
    <x v="6"/>
    <x v="5"/>
    <x v="3"/>
    <x v="0"/>
    <x v="2"/>
    <x v="4"/>
    <n v="53.68"/>
    <n v="-1.49"/>
  </r>
  <r>
    <x v="7"/>
    <x v="7"/>
    <x v="6"/>
    <x v="6"/>
    <x v="0"/>
    <x v="7"/>
    <x v="7"/>
    <x v="6"/>
    <x v="1"/>
    <x v="0"/>
    <x v="1"/>
    <x v="4"/>
    <n v="53.68"/>
    <n v="-1.49"/>
  </r>
  <r>
    <x v="8"/>
    <x v="8"/>
    <x v="7"/>
    <x v="7"/>
    <x v="2"/>
    <x v="8"/>
    <x v="8"/>
    <x v="7"/>
    <x v="2"/>
    <x v="0"/>
    <x v="1"/>
    <x v="4"/>
    <n v="53.68"/>
    <n v="-1.49"/>
  </r>
  <r>
    <x v="9"/>
    <x v="9"/>
    <x v="8"/>
    <x v="8"/>
    <x v="2"/>
    <x v="9"/>
    <x v="9"/>
    <x v="8"/>
    <x v="2"/>
    <x v="0"/>
    <x v="3"/>
    <x v="2"/>
    <n v="51.063201999999997"/>
    <n v="-1.3080000000000001"/>
  </r>
  <r>
    <x v="10"/>
    <x v="10"/>
    <x v="9"/>
    <x v="9"/>
    <x v="1"/>
    <x v="10"/>
    <x v="10"/>
    <x v="8"/>
    <x v="1"/>
    <x v="0"/>
    <x v="3"/>
    <x v="4"/>
    <n v="53.68"/>
    <n v="-1.49"/>
  </r>
  <r>
    <x v="11"/>
    <x v="11"/>
    <x v="5"/>
    <x v="7"/>
    <x v="2"/>
    <x v="11"/>
    <x v="11"/>
    <x v="6"/>
    <x v="1"/>
    <x v="0"/>
    <x v="1"/>
    <x v="4"/>
    <n v="53.68"/>
    <n v="-1.49"/>
  </r>
  <r>
    <x v="12"/>
    <x v="12"/>
    <x v="10"/>
    <x v="7"/>
    <x v="0"/>
    <x v="12"/>
    <x v="12"/>
    <x v="8"/>
    <x v="1"/>
    <x v="0"/>
    <x v="1"/>
    <x v="0"/>
    <n v="53.958331999999999"/>
    <n v="-1.0802780000000001"/>
  </r>
  <r>
    <x v="13"/>
    <x v="13"/>
    <x v="11"/>
    <x v="10"/>
    <x v="2"/>
    <x v="13"/>
    <x v="13"/>
    <x v="9"/>
    <x v="2"/>
    <x v="0"/>
    <x v="4"/>
    <x v="3"/>
    <n v="51.209000000000003"/>
    <n v="-2.6469999999999998"/>
  </r>
  <r>
    <x v="14"/>
    <x v="14"/>
    <x v="4"/>
    <x v="11"/>
    <x v="0"/>
    <x v="14"/>
    <x v="14"/>
    <x v="9"/>
    <x v="1"/>
    <x v="0"/>
    <x v="4"/>
    <x v="3"/>
    <n v="51.209000000000003"/>
    <n v="-2.6469999999999998"/>
  </r>
  <r>
    <x v="15"/>
    <x v="15"/>
    <x v="12"/>
    <x v="9"/>
    <x v="1"/>
    <x v="15"/>
    <x v="15"/>
    <x v="10"/>
    <x v="1"/>
    <x v="0"/>
    <x v="3"/>
    <x v="4"/>
    <n v="53.68"/>
    <n v="-1.49"/>
  </r>
  <r>
    <x v="16"/>
    <x v="16"/>
    <x v="7"/>
    <x v="12"/>
    <x v="0"/>
    <x v="16"/>
    <x v="16"/>
    <x v="11"/>
    <x v="2"/>
    <x v="0"/>
    <x v="5"/>
    <x v="4"/>
    <n v="53.68"/>
    <n v="-1.49"/>
  </r>
  <r>
    <x v="17"/>
    <x v="17"/>
    <x v="7"/>
    <x v="13"/>
    <x v="1"/>
    <x v="17"/>
    <x v="17"/>
    <x v="3"/>
    <x v="2"/>
    <x v="0"/>
    <x v="1"/>
    <x v="4"/>
    <n v="53.68"/>
    <n v="-1.49"/>
  </r>
  <r>
    <x v="18"/>
    <x v="18"/>
    <x v="0"/>
    <x v="14"/>
    <x v="2"/>
    <x v="18"/>
    <x v="18"/>
    <x v="12"/>
    <x v="2"/>
    <x v="1"/>
    <x v="1"/>
    <x v="0"/>
    <n v="53.958331999999999"/>
    <n v="-1.0802780000000001"/>
  </r>
  <r>
    <x v="19"/>
    <x v="19"/>
    <x v="13"/>
    <x v="15"/>
    <x v="0"/>
    <x v="19"/>
    <x v="19"/>
    <x v="12"/>
    <x v="2"/>
    <x v="1"/>
    <x v="1"/>
    <x v="4"/>
    <n v="53.68"/>
    <n v="-1.49"/>
  </r>
  <r>
    <x v="20"/>
    <x v="20"/>
    <x v="14"/>
    <x v="16"/>
    <x v="0"/>
    <x v="20"/>
    <x v="20"/>
    <x v="13"/>
    <x v="0"/>
    <x v="3"/>
    <x v="2"/>
    <x v="5"/>
    <n v="50.259998000000003"/>
    <n v="-5.0510000000000002"/>
  </r>
  <r>
    <x v="21"/>
    <x v="21"/>
    <x v="15"/>
    <x v="17"/>
    <x v="3"/>
    <x v="21"/>
    <x v="21"/>
    <x v="14"/>
    <x v="2"/>
    <x v="0"/>
    <x v="5"/>
    <x v="5"/>
    <n v="50.259998000000003"/>
    <n v="-5.0510000000000002"/>
  </r>
  <r>
    <x v="22"/>
    <x v="22"/>
    <x v="16"/>
    <x v="18"/>
    <x v="2"/>
    <x v="22"/>
    <x v="22"/>
    <x v="15"/>
    <x v="2"/>
    <x v="0"/>
    <x v="1"/>
    <x v="5"/>
    <n v="50.259998000000003"/>
    <n v="-5.0510000000000002"/>
  </r>
  <r>
    <x v="23"/>
    <x v="23"/>
    <x v="3"/>
    <x v="13"/>
    <x v="0"/>
    <x v="23"/>
    <x v="23"/>
    <x v="16"/>
    <x v="2"/>
    <x v="0"/>
    <x v="1"/>
    <x v="2"/>
    <n v="51.063201999999997"/>
    <n v="-1.3080000000000001"/>
  </r>
  <r>
    <x v="24"/>
    <x v="24"/>
    <x v="17"/>
    <x v="19"/>
    <x v="3"/>
    <x v="24"/>
    <x v="24"/>
    <x v="17"/>
    <x v="2"/>
    <x v="0"/>
    <x v="1"/>
    <x v="5"/>
    <n v="50.259998000000003"/>
    <n v="-5.0510000000000002"/>
  </r>
  <r>
    <x v="25"/>
    <x v="25"/>
    <x v="18"/>
    <x v="20"/>
    <x v="3"/>
    <x v="25"/>
    <x v="25"/>
    <x v="17"/>
    <x v="1"/>
    <x v="0"/>
    <x v="1"/>
    <x v="5"/>
    <n v="50.259998000000003"/>
    <n v="-5.0510000000000002"/>
  </r>
  <r>
    <x v="26"/>
    <x v="26"/>
    <x v="19"/>
    <x v="21"/>
    <x v="0"/>
    <x v="26"/>
    <x v="26"/>
    <x v="12"/>
    <x v="1"/>
    <x v="1"/>
    <x v="2"/>
    <x v="1"/>
    <n v="52.192000999999998"/>
    <n v="-2.2200000000000002"/>
  </r>
  <r>
    <x v="27"/>
    <x v="27"/>
    <x v="20"/>
    <x v="22"/>
    <x v="0"/>
    <x v="27"/>
    <x v="27"/>
    <x v="8"/>
    <x v="1"/>
    <x v="0"/>
    <x v="3"/>
    <x v="0"/>
    <n v="53.958331999999999"/>
    <n v="-1.0802780000000001"/>
  </r>
  <r>
    <x v="28"/>
    <x v="28"/>
    <x v="21"/>
    <x v="10"/>
    <x v="0"/>
    <x v="28"/>
    <x v="28"/>
    <x v="9"/>
    <x v="2"/>
    <x v="0"/>
    <x v="4"/>
    <x v="3"/>
    <n v="51.209000000000003"/>
    <n v="-2.6469999999999998"/>
  </r>
  <r>
    <x v="29"/>
    <x v="29"/>
    <x v="22"/>
    <x v="11"/>
    <x v="0"/>
    <x v="29"/>
    <x v="29"/>
    <x v="9"/>
    <x v="1"/>
    <x v="0"/>
    <x v="4"/>
    <x v="3"/>
    <n v="51.209000000000003"/>
    <n v="-2.6469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321"/>
    <n v="1"/>
    <n v="117.30601621265943"/>
    <x v="0"/>
    <x v="0"/>
    <x v="0"/>
    <s v="Tops"/>
    <x v="0"/>
    <s v="York"/>
    <n v="53.958331999999999"/>
    <n v="-1.0802780000000001"/>
  </r>
  <r>
    <n v="261"/>
    <n v="4"/>
    <n v="32.272403315518879"/>
    <x v="1"/>
    <x v="1"/>
    <x v="1"/>
    <s v="Tops"/>
    <x v="1"/>
    <s v="Worcester"/>
    <n v="52.192000999999998"/>
    <n v="-2.2200000000000002"/>
  </r>
  <r>
    <n v="264"/>
    <n v="1"/>
    <n v="36.193364036721427"/>
    <x v="2"/>
    <x v="1"/>
    <x v="1"/>
    <s v="Tops"/>
    <x v="1"/>
    <s v="Worcester"/>
    <n v="52.192000999999998"/>
    <n v="-2.2200000000000002"/>
  </r>
  <r>
    <n v="251"/>
    <n v="3"/>
    <n v="29.913403457473116"/>
    <x v="3"/>
    <x v="2"/>
    <x v="1"/>
    <s v="Trousers"/>
    <x v="1"/>
    <s v="Winchester"/>
    <n v="51.063201999999997"/>
    <n v="-1.3080000000000001"/>
  </r>
  <r>
    <n v="251"/>
    <n v="1"/>
    <n v="41.843430479571737"/>
    <x v="4"/>
    <x v="3"/>
    <x v="2"/>
    <s v="Trousers"/>
    <x v="1"/>
    <s v="Winchester"/>
    <n v="51.063201999999997"/>
    <n v="-1.3080000000000001"/>
  </r>
  <r>
    <n v="304"/>
    <n v="3"/>
    <n v="49.887524153696646"/>
    <x v="5"/>
    <x v="4"/>
    <x v="3"/>
    <s v="Leathers"/>
    <x v="2"/>
    <s v="Wells"/>
    <n v="51.209000000000003"/>
    <n v="-2.6469999999999998"/>
  </r>
  <r>
    <n v="357"/>
    <n v="2"/>
    <n v="35.416015925016495"/>
    <x v="6"/>
    <x v="5"/>
    <x v="3"/>
    <s v="Tops"/>
    <x v="2"/>
    <s v="Wakefield"/>
    <n v="53.68"/>
    <n v="-1.49"/>
  </r>
  <r>
    <n v="258"/>
    <n v="1"/>
    <n v="29.084205326904204"/>
    <x v="7"/>
    <x v="6"/>
    <x v="1"/>
    <s v="Tops"/>
    <x v="1"/>
    <s v="Wakefield"/>
    <n v="53.68"/>
    <n v="-1.49"/>
  </r>
  <r>
    <n v="260"/>
    <n v="3"/>
    <n v="44.498077337370162"/>
    <x v="8"/>
    <x v="7"/>
    <x v="2"/>
    <s v="Tops"/>
    <x v="1"/>
    <s v="Wakefield"/>
    <n v="53.68"/>
    <n v="-1.49"/>
  </r>
  <r>
    <n v="263"/>
    <n v="3"/>
    <n v="38.497396846115628"/>
    <x v="9"/>
    <x v="8"/>
    <x v="2"/>
    <s v="Tops"/>
    <x v="3"/>
    <s v="Winchester"/>
    <n v="51.063201999999997"/>
    <n v="-1.3080000000000001"/>
  </r>
  <r>
    <n v="265"/>
    <n v="4"/>
    <n v="27.048956009592828"/>
    <x v="10"/>
    <x v="8"/>
    <x v="1"/>
    <s v="Tops"/>
    <x v="3"/>
    <s v="Wakefield"/>
    <n v="53.68"/>
    <n v="-1.49"/>
  </r>
  <r>
    <n v="260"/>
    <n v="3"/>
    <n v="28.540899236224128"/>
    <x v="11"/>
    <x v="6"/>
    <x v="1"/>
    <s v="Tops"/>
    <x v="1"/>
    <s v="Wakefield"/>
    <n v="53.68"/>
    <n v="-1.49"/>
  </r>
  <r>
    <n v="260"/>
    <n v="1"/>
    <n v="34.742913210945929"/>
    <x v="12"/>
    <x v="8"/>
    <x v="1"/>
    <s v="Tops"/>
    <x v="1"/>
    <s v="York"/>
    <n v="53.958331999999999"/>
    <n v="-1.0802780000000001"/>
  </r>
  <r>
    <n v="286"/>
    <n v="3"/>
    <n v="27.028571147255814"/>
    <x v="13"/>
    <x v="9"/>
    <x v="2"/>
    <s v="Tops"/>
    <x v="4"/>
    <s v="Wells"/>
    <n v="51.209000000000003"/>
    <n v="-2.6469999999999998"/>
  </r>
  <r>
    <n v="291"/>
    <n v="1"/>
    <n v="34.792452547579884"/>
    <x v="14"/>
    <x v="9"/>
    <x v="1"/>
    <s v="Tops"/>
    <x v="4"/>
    <s v="Wells"/>
    <n v="51.209000000000003"/>
    <n v="-2.6469999999999998"/>
  </r>
  <r>
    <n v="265"/>
    <n v="4"/>
    <n v="43.871536997474955"/>
    <x v="15"/>
    <x v="10"/>
    <x v="1"/>
    <s v="Tops"/>
    <x v="3"/>
    <s v="Wakefield"/>
    <n v="53.68"/>
    <n v="-1.49"/>
  </r>
  <r>
    <n v="274"/>
    <n v="1"/>
    <n v="51.968243851005795"/>
    <x v="16"/>
    <x v="11"/>
    <x v="2"/>
    <s v="Tops"/>
    <x v="5"/>
    <s v="Wakefield"/>
    <n v="53.68"/>
    <n v="-1.49"/>
  </r>
  <r>
    <n v="276"/>
    <n v="4"/>
    <n v="33.931774843538577"/>
    <x v="17"/>
    <x v="3"/>
    <x v="2"/>
    <s v="Tops"/>
    <x v="1"/>
    <s v="Wakefield"/>
    <n v="53.68"/>
    <n v="-1.49"/>
  </r>
  <r>
    <n v="280"/>
    <n v="3"/>
    <n v="41.412504340442645"/>
    <x v="18"/>
    <x v="12"/>
    <x v="2"/>
    <s v="Trousers"/>
    <x v="1"/>
    <s v="York"/>
    <n v="53.958331999999999"/>
    <n v="-1.0802780000000001"/>
  </r>
  <r>
    <n v="273"/>
    <n v="1"/>
    <n v="38.51621801369069"/>
    <x v="19"/>
    <x v="12"/>
    <x v="2"/>
    <s v="Trousers"/>
    <x v="1"/>
    <s v="Wakefield"/>
    <n v="53.68"/>
    <n v="-1.49"/>
  </r>
  <r>
    <n v="336"/>
    <n v="1"/>
    <n v="21.965811772016419"/>
    <x v="20"/>
    <x v="13"/>
    <x v="0"/>
    <s v="Shoes"/>
    <x v="2"/>
    <s v="Truro"/>
    <n v="50.259998000000003"/>
    <n v="-5.0510000000000002"/>
  </r>
  <r>
    <n v="293"/>
    <n v="2"/>
    <n v="38.718839537554501"/>
    <x v="21"/>
    <x v="14"/>
    <x v="2"/>
    <s v="Tops"/>
    <x v="5"/>
    <s v="Truro"/>
    <n v="50.259998000000003"/>
    <n v="-5.0510000000000002"/>
  </r>
  <r>
    <n v="285"/>
    <n v="3"/>
    <n v="36.190458371631145"/>
    <x v="22"/>
    <x v="15"/>
    <x v="2"/>
    <s v="Tops"/>
    <x v="1"/>
    <s v="Truro"/>
    <n v="50.259998000000003"/>
    <n v="-5.0510000000000002"/>
  </r>
  <r>
    <n v="276"/>
    <n v="1"/>
    <n v="54.994304962720001"/>
    <x v="23"/>
    <x v="16"/>
    <x v="2"/>
    <s v="Tops"/>
    <x v="1"/>
    <s v="Winchester"/>
    <n v="51.063201999999997"/>
    <n v="-1.3080000000000001"/>
  </r>
  <r>
    <n v="277"/>
    <n v="2"/>
    <n v="50.795957342415619"/>
    <x v="24"/>
    <x v="17"/>
    <x v="2"/>
    <s v="Tops"/>
    <x v="1"/>
    <s v="Truro"/>
    <n v="50.259998000000003"/>
    <n v="-5.0510000000000002"/>
  </r>
  <r>
    <n v="278"/>
    <n v="2"/>
    <n v="47.433316439519345"/>
    <x v="25"/>
    <x v="17"/>
    <x v="1"/>
    <s v="Tops"/>
    <x v="1"/>
    <s v="Truro"/>
    <n v="50.259998000000003"/>
    <n v="-5.0510000000000002"/>
  </r>
  <r>
    <n v="288"/>
    <n v="1"/>
    <n v="50.002619028127853"/>
    <x v="26"/>
    <x v="12"/>
    <x v="1"/>
    <s v="Trousers"/>
    <x v="2"/>
    <s v="Worcester"/>
    <n v="52.192000999999998"/>
    <n v="-2.2200000000000002"/>
  </r>
  <r>
    <n v="262"/>
    <n v="1"/>
    <n v="33.470935861548654"/>
    <x v="27"/>
    <x v="8"/>
    <x v="1"/>
    <s v="Tops"/>
    <x v="3"/>
    <s v="York"/>
    <n v="53.958331999999999"/>
    <n v="-1.0802780000000001"/>
  </r>
  <r>
    <n v="286"/>
    <n v="1"/>
    <n v="32.745506625036533"/>
    <x v="28"/>
    <x v="9"/>
    <x v="2"/>
    <s v="Tops"/>
    <x v="4"/>
    <s v="Wells"/>
    <n v="51.209000000000003"/>
    <n v="-2.6469999999999998"/>
  </r>
  <r>
    <n v="291"/>
    <n v="1"/>
    <n v="31.879106763402888"/>
    <x v="29"/>
    <x v="9"/>
    <x v="1"/>
    <s v="Tops"/>
    <x v="4"/>
    <s v="Wells"/>
    <n v="51.209000000000003"/>
    <n v="-2.646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BD730-270C-4B45-9AE6-DDE648DE2DAE}"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P23" firstHeaderRow="1" firstDataRow="2" firstDataCol="1"/>
  <pivotFields count="14">
    <pivotField numFmtId="14" showAll="0"/>
    <pivotField showAll="0"/>
    <pivotField showAll="0"/>
    <pivotField showAll="0"/>
    <pivotField showAll="0"/>
    <pivotField showAll="0"/>
    <pivotField showAll="0"/>
    <pivotField showAll="0">
      <items count="19">
        <item x="4"/>
        <item x="1"/>
        <item x="15"/>
        <item x="0"/>
        <item x="14"/>
        <item x="8"/>
        <item x="13"/>
        <item x="2"/>
        <item x="9"/>
        <item x="12"/>
        <item x="6"/>
        <item x="17"/>
        <item x="3"/>
        <item x="10"/>
        <item x="11"/>
        <item x="5"/>
        <item x="7"/>
        <item x="16"/>
        <item t="default"/>
      </items>
    </pivotField>
    <pivotField showAll="0">
      <items count="5">
        <item x="3"/>
        <item x="1"/>
        <item x="0"/>
        <item x="2"/>
        <item t="default"/>
      </items>
    </pivotField>
    <pivotField showAll="0"/>
    <pivotField axis="axisCol" dataField="1" showAll="0">
      <items count="7">
        <item x="4"/>
        <item x="1"/>
        <item x="0"/>
        <item x="2"/>
        <item x="5"/>
        <item x="3"/>
        <item t="default"/>
      </items>
    </pivotField>
    <pivotField axis="axisRow" showAll="0">
      <items count="7">
        <item x="5"/>
        <item x="4"/>
        <item x="3"/>
        <item x="2"/>
        <item x="1"/>
        <item x="0"/>
        <item t="default"/>
      </items>
    </pivotField>
    <pivotField showAll="0"/>
    <pivotField showAll="0"/>
  </pivotFields>
  <rowFields count="1">
    <field x="11"/>
  </rowFields>
  <rowItems count="7">
    <i>
      <x/>
    </i>
    <i>
      <x v="1"/>
    </i>
    <i>
      <x v="2"/>
    </i>
    <i>
      <x v="3"/>
    </i>
    <i>
      <x v="4"/>
    </i>
    <i>
      <x v="5"/>
    </i>
    <i t="grand">
      <x/>
    </i>
  </rowItems>
  <colFields count="1">
    <field x="10"/>
  </colFields>
  <colItems count="7">
    <i>
      <x/>
    </i>
    <i>
      <x v="1"/>
    </i>
    <i>
      <x v="2"/>
    </i>
    <i>
      <x v="3"/>
    </i>
    <i>
      <x v="4"/>
    </i>
    <i>
      <x v="5"/>
    </i>
    <i t="grand">
      <x/>
    </i>
  </colItems>
  <dataFields count="1">
    <dataField name="Count of Raw_Material"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64787-809E-49E8-BBEB-7E09ED0C9EBD}"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2" firstHeaderRow="1" firstDataRow="1" firstDataCol="1"/>
  <pivotFields count="14">
    <pivotField numFmtId="14" showAll="0"/>
    <pivotField showAll="0"/>
    <pivotField showAll="0"/>
    <pivotField showAll="0"/>
    <pivotField dataField="1" showAll="0"/>
    <pivotField showAll="0"/>
    <pivotField showAll="0"/>
    <pivotField showAll="0">
      <items count="19">
        <item x="4"/>
        <item x="1"/>
        <item x="15"/>
        <item x="0"/>
        <item x="14"/>
        <item x="8"/>
        <item x="13"/>
        <item x="2"/>
        <item x="9"/>
        <item x="12"/>
        <item x="6"/>
        <item x="17"/>
        <item x="3"/>
        <item x="10"/>
        <item x="11"/>
        <item x="5"/>
        <item x="7"/>
        <item x="16"/>
        <item t="default"/>
      </items>
    </pivotField>
    <pivotField showAll="0">
      <items count="5">
        <item x="3"/>
        <item x="1"/>
        <item x="0"/>
        <item x="2"/>
        <item t="default"/>
      </items>
    </pivotField>
    <pivotField showAll="0"/>
    <pivotField axis="axisRow" showAll="0">
      <items count="7">
        <item x="4"/>
        <item x="1"/>
        <item x="0"/>
        <item x="2"/>
        <item x="5"/>
        <item x="3"/>
        <item t="default"/>
      </items>
    </pivotField>
    <pivotField showAll="0">
      <items count="7">
        <item x="5"/>
        <item x="4"/>
        <item x="3"/>
        <item x="2"/>
        <item x="1"/>
        <item x="0"/>
        <item t="default"/>
      </items>
    </pivotField>
    <pivotField showAll="0"/>
    <pivotField showAll="0"/>
  </pivotFields>
  <rowFields count="1">
    <field x="10"/>
  </rowFields>
  <rowItems count="7">
    <i>
      <x/>
    </i>
    <i>
      <x v="1"/>
    </i>
    <i>
      <x v="2"/>
    </i>
    <i>
      <x v="3"/>
    </i>
    <i>
      <x v="4"/>
    </i>
    <i>
      <x v="5"/>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23380-86C7-464E-AD89-D0625A7185C2}"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J11" firstHeaderRow="1" firstDataRow="1" firstDataCol="1"/>
  <pivotFields count="14">
    <pivotField numFmtId="14" showAll="0">
      <items count="3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4">
        <item x="16"/>
        <item x="9"/>
        <item x="15"/>
        <item x="21"/>
        <item x="19"/>
        <item x="8"/>
        <item x="12"/>
        <item x="18"/>
        <item x="13"/>
        <item x="11"/>
        <item x="5"/>
        <item x="7"/>
        <item x="10"/>
        <item x="20"/>
        <item x="3"/>
        <item x="6"/>
        <item x="17"/>
        <item x="14"/>
        <item x="22"/>
        <item x="1"/>
        <item x="4"/>
        <item x="0"/>
        <item x="2"/>
        <item t="default"/>
      </items>
    </pivotField>
    <pivotField showAll="0">
      <items count="24">
        <item x="3"/>
        <item x="6"/>
        <item x="7"/>
        <item x="1"/>
        <item x="22"/>
        <item x="8"/>
        <item x="2"/>
        <item x="9"/>
        <item x="15"/>
        <item x="12"/>
        <item x="13"/>
        <item x="19"/>
        <item x="20"/>
        <item x="14"/>
        <item x="18"/>
        <item x="10"/>
        <item x="21"/>
        <item x="11"/>
        <item x="17"/>
        <item x="4"/>
        <item x="0"/>
        <item x="16"/>
        <item x="5"/>
        <item t="default"/>
      </items>
    </pivotField>
    <pivotField showAll="0">
      <items count="5">
        <item x="0"/>
        <item x="3"/>
        <item x="2"/>
        <item x="1"/>
        <item t="default"/>
      </items>
    </pivotField>
    <pivotField showAll="0">
      <items count="31">
        <item x="20"/>
        <item x="13"/>
        <item x="10"/>
        <item x="11"/>
        <item x="7"/>
        <item x="3"/>
        <item x="29"/>
        <item x="1"/>
        <item x="28"/>
        <item x="27"/>
        <item x="17"/>
        <item x="12"/>
        <item x="14"/>
        <item x="6"/>
        <item x="22"/>
        <item x="2"/>
        <item x="9"/>
        <item x="19"/>
        <item x="21"/>
        <item x="18"/>
        <item x="4"/>
        <item x="15"/>
        <item x="8"/>
        <item x="25"/>
        <item x="5"/>
        <item x="26"/>
        <item x="24"/>
        <item x="16"/>
        <item x="23"/>
        <item x="0"/>
        <item t="default"/>
      </items>
    </pivotField>
    <pivotField dataField="1" showAll="0">
      <items count="31">
        <item x="20"/>
        <item x="7"/>
        <item x="29"/>
        <item x="28"/>
        <item x="27"/>
        <item x="12"/>
        <item x="14"/>
        <item x="2"/>
        <item x="19"/>
        <item x="4"/>
        <item x="26"/>
        <item x="16"/>
        <item x="23"/>
        <item x="6"/>
        <item x="21"/>
        <item x="13"/>
        <item x="11"/>
        <item x="3"/>
        <item x="25"/>
        <item x="24"/>
        <item x="10"/>
        <item x="22"/>
        <item x="9"/>
        <item x="0"/>
        <item x="18"/>
        <item x="1"/>
        <item x="8"/>
        <item x="17"/>
        <item x="5"/>
        <item x="15"/>
        <item t="default"/>
      </items>
    </pivotField>
    <pivotField showAll="0">
      <items count="19">
        <item x="4"/>
        <item x="1"/>
        <item x="15"/>
        <item x="0"/>
        <item x="14"/>
        <item x="8"/>
        <item x="13"/>
        <item x="2"/>
        <item x="9"/>
        <item x="12"/>
        <item x="6"/>
        <item x="17"/>
        <item x="3"/>
        <item x="10"/>
        <item x="11"/>
        <item x="5"/>
        <item x="7"/>
        <item x="16"/>
        <item t="default"/>
      </items>
    </pivotField>
    <pivotField showAll="0">
      <items count="5">
        <item x="3"/>
        <item x="1"/>
        <item x="0"/>
        <item x="2"/>
        <item t="default"/>
      </items>
    </pivotField>
    <pivotField showAll="0">
      <items count="5">
        <item x="2"/>
        <item x="3"/>
        <item x="0"/>
        <item x="1"/>
        <item t="default"/>
      </items>
    </pivotField>
    <pivotField showAll="0">
      <items count="7">
        <item x="4"/>
        <item x="1"/>
        <item x="0"/>
        <item x="2"/>
        <item x="5"/>
        <item x="3"/>
        <item t="default"/>
      </items>
    </pivotField>
    <pivotField axis="axisRow" showAll="0" sortType="de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7">
    <i>
      <x v="1"/>
    </i>
    <i>
      <x/>
    </i>
    <i>
      <x v="2"/>
    </i>
    <i>
      <x v="5"/>
    </i>
    <i>
      <x v="3"/>
    </i>
    <i>
      <x v="4"/>
    </i>
    <i t="grand">
      <x/>
    </i>
  </rowItems>
  <colItems count="1">
    <i/>
  </colItems>
  <dataFields count="1">
    <dataField name="Sum of Sales_Revenue" fld="6" baseField="0" baseItem="0" numFmtId="2"/>
  </dataFields>
  <formats count="1">
    <format dxfId="23">
      <pivotArea outline="0" collapsedLevelsAreSubtotals="1"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2" format="12">
      <pivotArea type="data" outline="0" fieldPosition="0">
        <references count="2">
          <reference field="4294967294" count="1" selected="0">
            <x v="0"/>
          </reference>
          <reference field="11" count="1" selected="0">
            <x v="5"/>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2" format="1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E5BE08-04C7-45B1-AD5D-2F3156DC25C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5:G10" firstHeaderRow="1" firstDataRow="1" firstDataCol="1"/>
  <pivotFields count="14">
    <pivotField numFmtId="14" showAll="0"/>
    <pivotField showAll="0"/>
    <pivotField showAll="0"/>
    <pivotField showAll="0"/>
    <pivotField showAll="0"/>
    <pivotField showAll="0"/>
    <pivotField dataField="1" showAll="0"/>
    <pivotField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7">
        <item x="4"/>
        <item x="1"/>
        <item x="0"/>
        <item x="2"/>
        <item x="5"/>
        <item x="3"/>
        <item t="default"/>
      </items>
    </pivotField>
    <pivotField showAll="0">
      <items count="7">
        <item x="5"/>
        <item x="4"/>
        <item x="3"/>
        <item x="2"/>
        <item x="1"/>
        <item x="0"/>
        <item t="default"/>
      </items>
    </pivotField>
    <pivotField showAll="0"/>
    <pivotField showAll="0"/>
  </pivotFields>
  <rowFields count="1">
    <field x="8"/>
  </rowFields>
  <rowItems count="5">
    <i>
      <x v="2"/>
    </i>
    <i>
      <x/>
    </i>
    <i>
      <x v="1"/>
    </i>
    <i>
      <x v="3"/>
    </i>
    <i t="grand">
      <x/>
    </i>
  </rowItems>
  <colItems count="1">
    <i/>
  </colItems>
  <dataFields count="1">
    <dataField name="Sum of Sales_Revenue" fld="6" baseField="0" baseItem="0"/>
  </dataFields>
  <formats count="2">
    <format dxfId="38">
      <pivotArea collapsedLevelsAreSubtotals="1" fieldPosition="0">
        <references count="1">
          <reference field="8" count="0"/>
        </references>
      </pivotArea>
    </format>
    <format dxfId="19">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D1A16-91E6-40F4-A899-B3235913BB0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10" firstHeaderRow="1" firstDataRow="1" firstDataCol="1"/>
  <pivotFields count="14">
    <pivotField numFmtId="14" showAll="0"/>
    <pivotField showAll="0"/>
    <pivotField showAll="0"/>
    <pivotField showAll="0"/>
    <pivotField dataField="1" showAll="0">
      <items count="5">
        <item x="0"/>
        <item x="3"/>
        <item x="2"/>
        <item x="1"/>
        <item t="default"/>
      </items>
    </pivotField>
    <pivotField showAll="0"/>
    <pivotField showAll="0"/>
    <pivotField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7">
        <item x="4"/>
        <item x="1"/>
        <item x="0"/>
        <item x="2"/>
        <item x="5"/>
        <item x="3"/>
        <item t="default"/>
      </items>
    </pivotField>
    <pivotField showAll="0">
      <items count="7">
        <item x="5"/>
        <item x="4"/>
        <item x="3"/>
        <item x="2"/>
        <item x="1"/>
        <item x="0"/>
        <item t="default"/>
      </items>
    </pivotField>
    <pivotField showAll="0"/>
    <pivotField showAll="0"/>
  </pivotFields>
  <rowFields count="1">
    <field x="8"/>
  </rowFields>
  <rowItems count="5">
    <i>
      <x v="2"/>
    </i>
    <i>
      <x/>
    </i>
    <i>
      <x v="1"/>
    </i>
    <i>
      <x v="3"/>
    </i>
    <i t="grand">
      <x/>
    </i>
  </rowItems>
  <colItems count="1">
    <i/>
  </colItems>
  <dataFields count="1">
    <dataField name="Sum of Quantity"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B23BD7-8737-41AD-A31F-ED490AD20A3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27:F33" firstHeaderRow="1" firstDataRow="1" firstDataCol="1"/>
  <pivotFields count="11">
    <pivotField showAll="0"/>
    <pivotField showAll="0"/>
    <pivotField numFmtId="164" showAll="0"/>
    <pivotField dataField="1" numFmtId="164" showAll="0">
      <items count="31">
        <item x="20"/>
        <item x="7"/>
        <item x="29"/>
        <item x="28"/>
        <item x="27"/>
        <item x="12"/>
        <item x="14"/>
        <item x="2"/>
        <item x="19"/>
        <item x="4"/>
        <item x="26"/>
        <item x="16"/>
        <item x="23"/>
        <item x="6"/>
        <item x="21"/>
        <item x="13"/>
        <item x="11"/>
        <item x="3"/>
        <item x="25"/>
        <item x="24"/>
        <item x="10"/>
        <item x="22"/>
        <item x="9"/>
        <item x="0"/>
        <item x="18"/>
        <item x="1"/>
        <item x="8"/>
        <item x="17"/>
        <item x="5"/>
        <item x="15"/>
        <item t="default"/>
      </items>
    </pivotField>
    <pivotField axis="axisRow" showAll="0" measureFilter="1" sortType="descending">
      <items count="19">
        <item x="4"/>
        <item x="1"/>
        <item x="15"/>
        <item x="0"/>
        <item x="14"/>
        <item x="8"/>
        <item x="13"/>
        <item x="2"/>
        <item x="9"/>
        <item x="12"/>
        <item x="6"/>
        <item x="17"/>
        <item x="3"/>
        <item x="10"/>
        <item x="11"/>
        <item x="5"/>
        <item x="7"/>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6">
    <i>
      <x v="5"/>
    </i>
    <i>
      <x v="9"/>
    </i>
    <i>
      <x v="11"/>
    </i>
    <i>
      <x v="8"/>
    </i>
    <i>
      <x v="12"/>
    </i>
    <i t="grand">
      <x/>
    </i>
  </rowItems>
  <colItems count="1">
    <i/>
  </colItems>
  <dataFields count="1">
    <dataField name="Sum of Sales_Revenue" fld="3" baseField="0" baseItem="0" numFmtId="166"/>
  </dataFields>
  <formats count="1">
    <format dxfId="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F45D1B-FEC8-4987-849D-B4D5AD15B76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46" firstHeaderRow="1" firstDataRow="1" firstDataCol="1"/>
  <pivotFields count="11">
    <pivotField showAll="0"/>
    <pivotField dataField="1" showAll="0"/>
    <pivotField numFmtId="164" showAll="0"/>
    <pivotField numFmtId="164" showAll="0"/>
    <pivotField axis="axisRow" showAll="0" sortType="descending">
      <items count="19">
        <item x="4"/>
        <item x="1"/>
        <item x="15"/>
        <item x="0"/>
        <item x="14"/>
        <item x="8"/>
        <item x="13"/>
        <item x="2"/>
        <item x="9"/>
        <item x="12"/>
        <item x="6"/>
        <item x="17"/>
        <item x="3"/>
        <item x="10"/>
        <item x="11"/>
        <item x="5"/>
        <item x="7"/>
        <item x="16"/>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showAll="0"/>
    <pivotField showAll="0"/>
    <pivotField showAll="0"/>
    <pivotField showAll="0"/>
  </pivotFields>
  <rowFields count="1">
    <field x="4"/>
  </rowFields>
  <rowItems count="19">
    <i>
      <x v="5"/>
    </i>
    <i>
      <x v="8"/>
    </i>
    <i>
      <x v="1"/>
    </i>
    <i>
      <x v="12"/>
    </i>
    <i>
      <x v="9"/>
    </i>
    <i>
      <x v="10"/>
    </i>
    <i>
      <x v="13"/>
    </i>
    <i>
      <x v="11"/>
    </i>
    <i>
      <x v="7"/>
    </i>
    <i>
      <x v="16"/>
    </i>
    <i>
      <x v="2"/>
    </i>
    <i>
      <x/>
    </i>
    <i>
      <x v="15"/>
    </i>
    <i>
      <x v="4"/>
    </i>
    <i>
      <x v="17"/>
    </i>
    <i>
      <x v="3"/>
    </i>
    <i>
      <x v="14"/>
    </i>
    <i>
      <x v="6"/>
    </i>
    <i t="grand">
      <x/>
    </i>
  </rowItems>
  <colItems count="1">
    <i/>
  </colItems>
  <dataFields count="1">
    <dataField name="Sum of Quanti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B54E7-E530-44BC-83E3-46B11E16816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5:G22" firstHeaderRow="1" firstDataRow="1" firstDataCol="1"/>
  <pivotFields count="11">
    <pivotField showAll="0"/>
    <pivotField showAll="0"/>
    <pivotField numFmtId="164" showAll="0"/>
    <pivotField dataField="1" numFmtId="164" showAll="0"/>
    <pivotField showAll="0">
      <items count="19">
        <item x="4"/>
        <item x="1"/>
        <item x="15"/>
        <item x="0"/>
        <item x="14"/>
        <item x="8"/>
        <item x="13"/>
        <item x="2"/>
        <item x="9"/>
        <item x="12"/>
        <item x="6"/>
        <item x="17"/>
        <item x="3"/>
        <item x="10"/>
        <item x="11"/>
        <item x="5"/>
        <item x="7"/>
        <item x="16"/>
        <item t="default"/>
      </items>
    </pivotField>
    <pivotField showAll="0">
      <items count="5">
        <item x="3"/>
        <item x="1"/>
        <item x="0"/>
        <item x="2"/>
        <item t="default"/>
      </items>
    </pivotField>
    <pivotField showAll="0"/>
    <pivotField axis="axisRow" showAll="0">
      <items count="7">
        <item x="4"/>
        <item x="1"/>
        <item x="0"/>
        <item x="2"/>
        <item x="5"/>
        <item x="3"/>
        <item t="default"/>
      </items>
    </pivotField>
    <pivotField showAll="0"/>
    <pivotField showAll="0"/>
    <pivotField showAll="0"/>
  </pivotFields>
  <rowFields count="1">
    <field x="7"/>
  </rowFields>
  <rowItems count="7">
    <i>
      <x/>
    </i>
    <i>
      <x v="1"/>
    </i>
    <i>
      <x v="2"/>
    </i>
    <i>
      <x v="3"/>
    </i>
    <i>
      <x v="4"/>
    </i>
    <i>
      <x v="5"/>
    </i>
    <i t="grand">
      <x/>
    </i>
  </rowItems>
  <colItems count="1">
    <i/>
  </colItems>
  <dataFields count="1">
    <dataField name="Sum of Sales_Revenue" fld="3" baseField="0" baseItem="0" numFmtId="166"/>
  </dataFields>
  <formats count="1">
    <format dxfId="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003097-55AA-4AAE-A878-CD0A3315DC09}"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27:N35" firstHeaderRow="1" firstDataRow="2" firstDataCol="1"/>
  <pivotFields count="14">
    <pivotField numFmtId="14" showAll="0"/>
    <pivotField showAll="0"/>
    <pivotField showAll="0"/>
    <pivotField showAll="0"/>
    <pivotField showAll="0"/>
    <pivotField showAll="0"/>
    <pivotField dataField="1" showAll="0"/>
    <pivotField showAll="0"/>
    <pivotField axis="axisCol"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7">
        <item x="4"/>
        <item x="1"/>
        <item x="0"/>
        <item x="2"/>
        <item x="5"/>
        <item x="3"/>
        <item t="default"/>
      </items>
    </pivotField>
    <pivotField axis="axisRow" showAll="0" sortType="a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7">
    <i>
      <x v="4"/>
    </i>
    <i>
      <x v="3"/>
    </i>
    <i>
      <x v="5"/>
    </i>
    <i>
      <x v="2"/>
    </i>
    <i>
      <x/>
    </i>
    <i>
      <x v="1"/>
    </i>
    <i t="grand">
      <x/>
    </i>
  </rowItems>
  <colFields count="1">
    <field x="8"/>
  </colFields>
  <colItems count="5">
    <i>
      <x v="2"/>
    </i>
    <i>
      <x/>
    </i>
    <i>
      <x v="1"/>
    </i>
    <i>
      <x v="3"/>
    </i>
    <i t="grand">
      <x/>
    </i>
  </colItems>
  <dataFields count="1">
    <dataField name="Sum of Sales_Revenue" fld="6" baseField="0" baseItem="0"/>
  </dataFields>
  <chartFormats count="4">
    <chartFormat chart="2" format="8" series="1">
      <pivotArea type="data" outline="0" fieldPosition="0">
        <references count="2">
          <reference field="4294967294" count="1" selected="0">
            <x v="0"/>
          </reference>
          <reference field="8" count="1" selected="0">
            <x v="2"/>
          </reference>
        </references>
      </pivotArea>
    </chartFormat>
    <chartFormat chart="2" format="9" series="1">
      <pivotArea type="data" outline="0" fieldPosition="0">
        <references count="2">
          <reference field="4294967294" count="1" selected="0">
            <x v="0"/>
          </reference>
          <reference field="8" count="1" selected="0">
            <x v="0"/>
          </reference>
        </references>
      </pivotArea>
    </chartFormat>
    <chartFormat chart="2" format="10" series="1">
      <pivotArea type="data" outline="0" fieldPosition="0">
        <references count="2">
          <reference field="4294967294" count="1" selected="0">
            <x v="0"/>
          </reference>
          <reference field="8" count="1" selected="0">
            <x v="1"/>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1D7C496-265B-4755-9B1B-5C1732E0CE5E}" sourceName="Product_Category">
  <pivotTables>
    <pivotTable tabId="3" name="PivotTable9"/>
    <pivotTable tabId="3" name="PivotTable10"/>
    <pivotTable tabId="3" name="PivotTable11"/>
    <pivotTable tabId="3" name="PivotTable3"/>
    <pivotTable tabId="3" name="PivotTable4"/>
    <pivotTable tabId="3" name="PivotTable5"/>
  </pivotTables>
  <data>
    <tabular pivotCacheId="131671296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w_Material" xr10:uid="{5D934D0A-1F05-4257-9DF0-BC85812D1A37}" sourceName="Raw_Material">
  <pivotTables>
    <pivotTable tabId="3" name="PivotTable9"/>
    <pivotTable tabId="3" name="PivotTable10"/>
    <pivotTable tabId="3" name="PivotTable11"/>
    <pivotTable tabId="3" name="PivotTable3"/>
    <pivotTable tabId="3" name="PivotTable4"/>
    <pivotTable tabId="3" name="PivotTable5"/>
  </pivotTables>
  <data>
    <tabular pivotCacheId="1316712961">
      <items count="6">
        <i x="4" s="1"/>
        <i x="1" s="1"/>
        <i x="0" s="1"/>
        <i x="2"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C4B90E-9666-449B-AFCE-22046CE09064}" sourceName="Region">
  <pivotTables>
    <pivotTable tabId="3" name="PivotTable9"/>
    <pivotTable tabId="3" name="PivotTable10"/>
    <pivotTable tabId="3" name="PivotTable11"/>
    <pivotTable tabId="3" name="PivotTable3"/>
    <pivotTable tabId="3" name="PivotTable4"/>
    <pivotTable tabId="3" name="PivotTable5"/>
  </pivotTables>
  <data>
    <tabular pivotCacheId="1316712961">
      <items count="6">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1924D09-5A0D-4C75-A1FC-A072E2DA2E52}" cache="Slicer_Product_Category" caption="Product_Category" style="SlicerStyleOther2" rowHeight="241300"/>
  <slicer name="Raw_Material" xr10:uid="{F98B411A-A7C6-4921-9F48-88FE63F7A7BA}" cache="Slicer_Raw_Material" caption="Raw_Material" style="SlicerStyleOther2" rowHeight="241300"/>
  <slicer name="Region" xr10:uid="{61521CF6-2D64-495D-B955-D9AC2B9D8DAF}" cache="Slicer_Region" caption="Region" style="SlicerStyleOther2" rowHeight="241300"/>
</slicers>
</file>

<file path=xl/theme/theme1.xml><?xml version="1.0" encoding="utf-8"?>
<a:theme xmlns:a="http://schemas.openxmlformats.org/drawingml/2006/main" name="画廊">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画廊">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画廊">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89" zoomScaleNormal="89" workbookViewId="0">
      <selection activeCell="C37" sqref="C37"/>
    </sheetView>
  </sheetViews>
  <sheetFormatPr defaultRowHeight="15" x14ac:dyDescent="0.3"/>
  <cols>
    <col min="1" max="1" width="24.85546875" customWidth="1"/>
    <col min="2" max="2" width="15.5703125" customWidth="1"/>
    <col min="3" max="5" width="20.7109375" customWidth="1"/>
    <col min="6" max="7" width="20.7109375" style="5" customWidth="1"/>
    <col min="8" max="14" width="20.7109375" customWidth="1"/>
  </cols>
  <sheetData>
    <row r="1" spans="1:14" x14ac:dyDescent="0.3">
      <c r="A1" t="s">
        <v>60</v>
      </c>
      <c r="B1" t="s">
        <v>51</v>
      </c>
      <c r="C1" t="s">
        <v>10</v>
      </c>
      <c r="D1" t="s">
        <v>2</v>
      </c>
      <c r="E1" t="s">
        <v>0</v>
      </c>
      <c r="F1" s="5" t="s">
        <v>1</v>
      </c>
      <c r="G1" s="13" t="s">
        <v>12</v>
      </c>
      <c r="H1" t="s">
        <v>13</v>
      </c>
      <c r="I1" t="s">
        <v>14</v>
      </c>
      <c r="J1" t="s">
        <v>46</v>
      </c>
      <c r="K1" t="s">
        <v>15</v>
      </c>
      <c r="L1" t="s">
        <v>11</v>
      </c>
      <c r="M1" t="s">
        <v>9</v>
      </c>
      <c r="N1" t="s">
        <v>8</v>
      </c>
    </row>
    <row r="2" spans="1:14" x14ac:dyDescent="0.3">
      <c r="A2" s="1">
        <f>DATE(LEFT(B2,4),MID(B2,5,2),RIGHT(B2,2))</f>
        <v>44370</v>
      </c>
      <c r="B2">
        <v>20210623</v>
      </c>
      <c r="C2">
        <v>9</v>
      </c>
      <c r="D2">
        <v>285</v>
      </c>
      <c r="E2">
        <v>3</v>
      </c>
      <c r="F2" s="5">
        <v>36.190458371631145</v>
      </c>
      <c r="G2" s="13">
        <v>108.57137511489344</v>
      </c>
      <c r="H2" t="s">
        <v>32</v>
      </c>
      <c r="I2" t="s">
        <v>17</v>
      </c>
      <c r="J2" t="s">
        <v>47</v>
      </c>
      <c r="K2" t="s">
        <v>3</v>
      </c>
      <c r="L2" t="s">
        <v>45</v>
      </c>
      <c r="M2">
        <v>50.259998000000003</v>
      </c>
      <c r="N2">
        <v>-5.0510000000000002</v>
      </c>
    </row>
    <row r="3" spans="1:14" x14ac:dyDescent="0.3">
      <c r="A3" s="1">
        <f>DATE(LEFT(B3,4),MID(B3,5,2),RIGHT(B3,2))</f>
        <v>44358</v>
      </c>
      <c r="B3">
        <v>20210611</v>
      </c>
      <c r="C3">
        <v>10</v>
      </c>
      <c r="D3">
        <v>265</v>
      </c>
      <c r="E3">
        <v>4</v>
      </c>
      <c r="F3" s="5">
        <v>27.048956009592828</v>
      </c>
      <c r="G3" s="13">
        <v>108.19582403837131</v>
      </c>
      <c r="H3" t="s">
        <v>26</v>
      </c>
      <c r="I3" t="s">
        <v>16</v>
      </c>
      <c r="J3" t="s">
        <v>47</v>
      </c>
      <c r="K3" t="s">
        <v>37</v>
      </c>
      <c r="L3" t="s">
        <v>44</v>
      </c>
      <c r="M3">
        <v>53.68</v>
      </c>
      <c r="N3">
        <v>-1.49</v>
      </c>
    </row>
    <row r="4" spans="1:14" x14ac:dyDescent="0.3">
      <c r="A4" s="1">
        <f>DATE(LEFT(B4,4),MID(B4,5,2),RIGHT(B4,2))</f>
        <v>44369</v>
      </c>
      <c r="B4">
        <v>20210622</v>
      </c>
      <c r="C4">
        <v>12</v>
      </c>
      <c r="D4">
        <v>293</v>
      </c>
      <c r="E4">
        <v>2</v>
      </c>
      <c r="F4" s="5">
        <v>38.718839537554501</v>
      </c>
      <c r="G4" s="13">
        <v>77.437679075109003</v>
      </c>
      <c r="H4" t="s">
        <v>31</v>
      </c>
      <c r="I4" t="s">
        <v>17</v>
      </c>
      <c r="J4" t="s">
        <v>47</v>
      </c>
      <c r="K4" t="s">
        <v>39</v>
      </c>
      <c r="L4" t="s">
        <v>45</v>
      </c>
      <c r="M4">
        <v>50.259998000000003</v>
      </c>
      <c r="N4">
        <v>-5.0510000000000002</v>
      </c>
    </row>
    <row r="5" spans="1:14" x14ac:dyDescent="0.3">
      <c r="A5" s="1">
        <f>DATE(LEFT(B5,4),MID(B5,5,2),RIGHT(B5,2))</f>
        <v>44376</v>
      </c>
      <c r="B5">
        <v>20210629</v>
      </c>
      <c r="C5">
        <v>13</v>
      </c>
      <c r="D5">
        <v>286</v>
      </c>
      <c r="E5">
        <v>1</v>
      </c>
      <c r="F5" s="5">
        <v>32.745506625036533</v>
      </c>
      <c r="G5" s="13">
        <v>32.745506625036533</v>
      </c>
      <c r="H5" t="s">
        <v>27</v>
      </c>
      <c r="I5" t="s">
        <v>17</v>
      </c>
      <c r="J5" t="s">
        <v>47</v>
      </c>
      <c r="K5" t="s">
        <v>38</v>
      </c>
      <c r="L5" t="s">
        <v>43</v>
      </c>
      <c r="M5">
        <v>51.209000000000003</v>
      </c>
      <c r="N5">
        <v>-2.6469999999999998</v>
      </c>
    </row>
    <row r="6" spans="1:14" x14ac:dyDescent="0.3">
      <c r="A6" s="1">
        <f>DATE(LEFT(B6,4),MID(B6,5,2),RIGHT(B6,2))</f>
        <v>44374</v>
      </c>
      <c r="B6">
        <v>20210627</v>
      </c>
      <c r="C6">
        <v>15</v>
      </c>
      <c r="D6">
        <v>288</v>
      </c>
      <c r="E6">
        <v>1</v>
      </c>
      <c r="F6" s="5">
        <v>50.002619028127853</v>
      </c>
      <c r="G6" s="13">
        <v>50.002619028127853</v>
      </c>
      <c r="H6" t="s">
        <v>7</v>
      </c>
      <c r="I6" t="s">
        <v>16</v>
      </c>
      <c r="J6" t="s">
        <v>50</v>
      </c>
      <c r="K6" t="s">
        <v>36</v>
      </c>
      <c r="L6" t="s">
        <v>41</v>
      </c>
      <c r="M6">
        <v>52.192000999999998</v>
      </c>
      <c r="N6">
        <v>-2.2200000000000002</v>
      </c>
    </row>
    <row r="7" spans="1:14" x14ac:dyDescent="0.3">
      <c r="A7" s="1">
        <f>DATE(LEFT(B7,4),MID(B7,5,2),RIGHT(B7,2))</f>
        <v>44357</v>
      </c>
      <c r="B7">
        <v>20210610</v>
      </c>
      <c r="C7">
        <v>24</v>
      </c>
      <c r="D7">
        <v>263</v>
      </c>
      <c r="E7">
        <v>3</v>
      </c>
      <c r="F7" s="5">
        <v>38.497396846115628</v>
      </c>
      <c r="G7" s="13">
        <v>115.49219053834688</v>
      </c>
      <c r="H7" t="s">
        <v>26</v>
      </c>
      <c r="I7" t="s">
        <v>17</v>
      </c>
      <c r="J7" t="s">
        <v>47</v>
      </c>
      <c r="K7" t="s">
        <v>37</v>
      </c>
      <c r="L7" t="s">
        <v>42</v>
      </c>
      <c r="M7">
        <v>51.063201999999997</v>
      </c>
      <c r="N7">
        <v>-1.3080000000000001</v>
      </c>
    </row>
    <row r="8" spans="1:14" x14ac:dyDescent="0.3">
      <c r="A8" s="1">
        <f>DATE(LEFT(B8,4),MID(B8,5,2),RIGHT(B8,2))</f>
        <v>44363</v>
      </c>
      <c r="B8">
        <v>20210616</v>
      </c>
      <c r="C8">
        <v>31</v>
      </c>
      <c r="D8">
        <v>265</v>
      </c>
      <c r="E8">
        <v>4</v>
      </c>
      <c r="F8" s="5">
        <v>43.871536997474955</v>
      </c>
      <c r="G8" s="13">
        <v>175.48614798989982</v>
      </c>
      <c r="H8" t="s">
        <v>28</v>
      </c>
      <c r="I8" t="s">
        <v>16</v>
      </c>
      <c r="J8" t="s">
        <v>47</v>
      </c>
      <c r="K8" t="s">
        <v>5</v>
      </c>
      <c r="L8" t="s">
        <v>44</v>
      </c>
      <c r="M8">
        <v>53.68</v>
      </c>
      <c r="N8">
        <v>-1.49</v>
      </c>
    </row>
    <row r="9" spans="1:14" x14ac:dyDescent="0.3">
      <c r="A9" s="1">
        <f>DATE(LEFT(B9,4),MID(B9,5,2),RIGHT(B9,2))</f>
        <v>44373</v>
      </c>
      <c r="B9">
        <v>20210626</v>
      </c>
      <c r="C9">
        <v>32</v>
      </c>
      <c r="D9">
        <v>278</v>
      </c>
      <c r="E9">
        <v>2</v>
      </c>
      <c r="F9" s="5">
        <v>47.433316439519345</v>
      </c>
      <c r="G9" s="13">
        <v>94.86663287903869</v>
      </c>
      <c r="H9" t="s">
        <v>34</v>
      </c>
      <c r="I9" t="s">
        <v>16</v>
      </c>
      <c r="J9" t="s">
        <v>47</v>
      </c>
      <c r="K9" t="s">
        <v>3</v>
      </c>
      <c r="L9" t="s">
        <v>45</v>
      </c>
      <c r="M9">
        <v>50.259998000000003</v>
      </c>
      <c r="N9">
        <v>-5.0510000000000002</v>
      </c>
    </row>
    <row r="10" spans="1:14" x14ac:dyDescent="0.3">
      <c r="A10" s="1">
        <f>DATE(LEFT(B10,4),MID(B10,5,2),RIGHT(B10,2))</f>
        <v>44367</v>
      </c>
      <c r="B10">
        <v>20210620</v>
      </c>
      <c r="C10">
        <v>34</v>
      </c>
      <c r="D10">
        <v>273</v>
      </c>
      <c r="E10">
        <v>1</v>
      </c>
      <c r="F10" s="5">
        <v>38.51621801369069</v>
      </c>
      <c r="G10" s="13">
        <v>38.51621801369069</v>
      </c>
      <c r="H10" t="s">
        <v>7</v>
      </c>
      <c r="I10" t="s">
        <v>17</v>
      </c>
      <c r="J10" t="s">
        <v>50</v>
      </c>
      <c r="K10" t="s">
        <v>3</v>
      </c>
      <c r="L10" t="s">
        <v>44</v>
      </c>
      <c r="M10">
        <v>53.68</v>
      </c>
      <c r="N10">
        <v>-1.49</v>
      </c>
    </row>
    <row r="11" spans="1:14" x14ac:dyDescent="0.3">
      <c r="A11" s="1">
        <f>DATE(LEFT(B11,4),MID(B11,5,2),RIGHT(B11,2))</f>
        <v>44361</v>
      </c>
      <c r="B11">
        <v>20210614</v>
      </c>
      <c r="C11">
        <v>44</v>
      </c>
      <c r="D11">
        <v>286</v>
      </c>
      <c r="E11">
        <v>3</v>
      </c>
      <c r="F11" s="5">
        <v>27.028571147255814</v>
      </c>
      <c r="G11" s="13">
        <v>81.085713441767439</v>
      </c>
      <c r="H11" t="s">
        <v>27</v>
      </c>
      <c r="I11" t="s">
        <v>17</v>
      </c>
      <c r="J11" t="s">
        <v>47</v>
      </c>
      <c r="K11" t="s">
        <v>38</v>
      </c>
      <c r="L11" t="s">
        <v>43</v>
      </c>
      <c r="M11">
        <v>51.209000000000003</v>
      </c>
      <c r="N11">
        <v>-2.6469999999999998</v>
      </c>
    </row>
    <row r="12" spans="1:14" x14ac:dyDescent="0.3">
      <c r="A12" s="1">
        <f>DATE(LEFT(B12,4),MID(B12,5,2),RIGHT(B12,2))</f>
        <v>44354</v>
      </c>
      <c r="B12">
        <v>20210607</v>
      </c>
      <c r="C12">
        <v>45</v>
      </c>
      <c r="D12">
        <v>357</v>
      </c>
      <c r="E12">
        <v>2</v>
      </c>
      <c r="F12" s="5">
        <v>35.416015925016495</v>
      </c>
      <c r="G12" s="13">
        <v>70.83203185003299</v>
      </c>
      <c r="H12" t="s">
        <v>23</v>
      </c>
      <c r="I12" t="s">
        <v>4</v>
      </c>
      <c r="J12" t="s">
        <v>47</v>
      </c>
      <c r="K12" t="s">
        <v>36</v>
      </c>
      <c r="L12" t="s">
        <v>44</v>
      </c>
      <c r="M12">
        <v>53.68</v>
      </c>
      <c r="N12">
        <v>-1.49</v>
      </c>
    </row>
    <row r="13" spans="1:14" x14ac:dyDescent="0.3">
      <c r="A13" s="1">
        <f>DATE(LEFT(B13,4),MID(B13,5,2),RIGHT(B13,2))</f>
        <v>44359</v>
      </c>
      <c r="B13">
        <v>20210612</v>
      </c>
      <c r="C13" s="2">
        <v>45</v>
      </c>
      <c r="D13">
        <v>260</v>
      </c>
      <c r="E13">
        <v>3</v>
      </c>
      <c r="F13" s="5">
        <v>28.540899236224128</v>
      </c>
      <c r="G13" s="13">
        <v>85.622697708672376</v>
      </c>
      <c r="H13" t="s">
        <v>24</v>
      </c>
      <c r="I13" t="s">
        <v>16</v>
      </c>
      <c r="J13" t="s">
        <v>47</v>
      </c>
      <c r="K13" t="s">
        <v>3</v>
      </c>
      <c r="L13" t="s">
        <v>44</v>
      </c>
      <c r="M13">
        <v>53.68</v>
      </c>
      <c r="N13">
        <v>-1.49</v>
      </c>
    </row>
    <row r="14" spans="1:14" x14ac:dyDescent="0.3">
      <c r="A14" s="1">
        <f>DATE(LEFT(B14,4),MID(B14,5,2),RIGHT(B14,2))</f>
        <v>44356</v>
      </c>
      <c r="B14">
        <v>20210609</v>
      </c>
      <c r="C14" s="2">
        <v>47</v>
      </c>
      <c r="D14">
        <v>260</v>
      </c>
      <c r="E14">
        <v>3</v>
      </c>
      <c r="F14" s="5">
        <v>44.498077337370162</v>
      </c>
      <c r="G14" s="13">
        <v>133.4942320121105</v>
      </c>
      <c r="H14" t="s">
        <v>25</v>
      </c>
      <c r="I14" t="s">
        <v>17</v>
      </c>
      <c r="J14" t="s">
        <v>47</v>
      </c>
      <c r="K14" t="s">
        <v>3</v>
      </c>
      <c r="L14" t="s">
        <v>44</v>
      </c>
      <c r="M14">
        <v>53.68</v>
      </c>
      <c r="N14">
        <v>-1.49</v>
      </c>
    </row>
    <row r="15" spans="1:14" x14ac:dyDescent="0.3">
      <c r="A15" s="1">
        <f>DATE(LEFT(B15,4),MID(B15,5,2),RIGHT(B15,2))</f>
        <v>44364</v>
      </c>
      <c r="B15">
        <v>20210617</v>
      </c>
      <c r="C15" s="2">
        <v>47</v>
      </c>
      <c r="D15">
        <v>274</v>
      </c>
      <c r="E15">
        <v>1</v>
      </c>
      <c r="F15" s="5">
        <v>51.968243851005795</v>
      </c>
      <c r="G15" s="13">
        <v>51.968243851005795</v>
      </c>
      <c r="H15" t="s">
        <v>29</v>
      </c>
      <c r="I15" t="s">
        <v>17</v>
      </c>
      <c r="J15" t="s">
        <v>47</v>
      </c>
      <c r="K15" t="s">
        <v>39</v>
      </c>
      <c r="L15" t="s">
        <v>44</v>
      </c>
      <c r="M15">
        <v>53.68</v>
      </c>
      <c r="N15">
        <v>-1.49</v>
      </c>
    </row>
    <row r="16" spans="1:14" x14ac:dyDescent="0.3">
      <c r="A16" s="1">
        <f>DATE(LEFT(B16,4),MID(B16,5,2),RIGHT(B16,2))</f>
        <v>44365</v>
      </c>
      <c r="B16">
        <v>20210618</v>
      </c>
      <c r="C16">
        <v>47</v>
      </c>
      <c r="D16">
        <v>276</v>
      </c>
      <c r="E16">
        <v>4</v>
      </c>
      <c r="F16" s="5">
        <v>33.931774843538577</v>
      </c>
      <c r="G16" s="13">
        <v>135.72709937415431</v>
      </c>
      <c r="H16" t="s">
        <v>6</v>
      </c>
      <c r="I16" t="s">
        <v>17</v>
      </c>
      <c r="J16" t="s">
        <v>47</v>
      </c>
      <c r="K16" t="s">
        <v>3</v>
      </c>
      <c r="L16" t="s">
        <v>44</v>
      </c>
      <c r="M16">
        <v>53.68</v>
      </c>
      <c r="N16">
        <v>-1.49</v>
      </c>
    </row>
    <row r="17" spans="1:14" x14ac:dyDescent="0.3">
      <c r="A17" s="1">
        <f>DATE(LEFT(B17,4),MID(B17,5,2),RIGHT(B17,2))</f>
        <v>44360</v>
      </c>
      <c r="B17">
        <v>20210613</v>
      </c>
      <c r="C17">
        <v>55</v>
      </c>
      <c r="D17">
        <v>260</v>
      </c>
      <c r="E17">
        <v>1</v>
      </c>
      <c r="F17" s="5">
        <v>34.742913210945929</v>
      </c>
      <c r="G17" s="13">
        <v>34.742913210945929</v>
      </c>
      <c r="H17" t="s">
        <v>26</v>
      </c>
      <c r="I17" t="s">
        <v>16</v>
      </c>
      <c r="J17" t="s">
        <v>47</v>
      </c>
      <c r="K17" t="s">
        <v>3</v>
      </c>
      <c r="L17" t="s">
        <v>40</v>
      </c>
      <c r="M17">
        <v>53.958331999999999</v>
      </c>
      <c r="N17">
        <v>-1.0802780000000001</v>
      </c>
    </row>
    <row r="18" spans="1:14" x14ac:dyDescent="0.3">
      <c r="A18" s="1">
        <f>DATE(LEFT(B18,4),MID(B18,5,2),RIGHT(B18,2))</f>
        <v>44375</v>
      </c>
      <c r="B18">
        <v>20210628</v>
      </c>
      <c r="C18">
        <v>56</v>
      </c>
      <c r="D18">
        <v>262</v>
      </c>
      <c r="E18">
        <v>1</v>
      </c>
      <c r="F18" s="5">
        <v>33.470935861548654</v>
      </c>
      <c r="G18" s="13">
        <v>33.470935861548654</v>
      </c>
      <c r="H18" t="s">
        <v>26</v>
      </c>
      <c r="I18" t="s">
        <v>16</v>
      </c>
      <c r="J18" t="s">
        <v>47</v>
      </c>
      <c r="K18" t="s">
        <v>37</v>
      </c>
      <c r="L18" t="s">
        <v>40</v>
      </c>
      <c r="M18">
        <v>53.958331999999999</v>
      </c>
      <c r="N18">
        <v>-1.0802780000000001</v>
      </c>
    </row>
    <row r="19" spans="1:14" x14ac:dyDescent="0.3">
      <c r="A19" s="1">
        <f>DATE(LEFT(B19,4),MID(B19,5,2),RIGHT(B19,2))</f>
        <v>44352</v>
      </c>
      <c r="B19">
        <v>20210605</v>
      </c>
      <c r="C19">
        <v>66</v>
      </c>
      <c r="D19">
        <v>251</v>
      </c>
      <c r="E19">
        <v>1</v>
      </c>
      <c r="F19" s="5">
        <v>41.843430479571737</v>
      </c>
      <c r="G19" s="13">
        <v>41.843430479571737</v>
      </c>
      <c r="H19" t="s">
        <v>6</v>
      </c>
      <c r="I19" t="s">
        <v>17</v>
      </c>
      <c r="J19" t="s">
        <v>50</v>
      </c>
      <c r="K19" t="s">
        <v>3</v>
      </c>
      <c r="L19" t="s">
        <v>42</v>
      </c>
      <c r="M19">
        <v>51.063201999999997</v>
      </c>
      <c r="N19">
        <v>-1.3080000000000001</v>
      </c>
    </row>
    <row r="20" spans="1:14" x14ac:dyDescent="0.3">
      <c r="A20" s="1">
        <f>DATE(LEFT(B20,4),MID(B20,5,2),RIGHT(B20,2))</f>
        <v>44371</v>
      </c>
      <c r="B20">
        <v>20210624</v>
      </c>
      <c r="C20" s="2">
        <v>66</v>
      </c>
      <c r="D20">
        <v>276</v>
      </c>
      <c r="E20">
        <v>1</v>
      </c>
      <c r="F20" s="5">
        <v>54.994304962720001</v>
      </c>
      <c r="G20" s="13">
        <v>54.994304962720001</v>
      </c>
      <c r="H20" t="s">
        <v>33</v>
      </c>
      <c r="I20" t="s">
        <v>17</v>
      </c>
      <c r="J20" t="s">
        <v>47</v>
      </c>
      <c r="K20" t="s">
        <v>3</v>
      </c>
      <c r="L20" t="s">
        <v>42</v>
      </c>
      <c r="M20">
        <v>51.063201999999997</v>
      </c>
      <c r="N20">
        <v>-1.3080000000000001</v>
      </c>
    </row>
    <row r="21" spans="1:14" x14ac:dyDescent="0.3">
      <c r="A21" s="1">
        <f>DATE(LEFT(B21,4),MID(B21,5,2),RIGHT(B21,2))</f>
        <v>44355</v>
      </c>
      <c r="B21">
        <v>20210608</v>
      </c>
      <c r="C21">
        <v>81</v>
      </c>
      <c r="D21">
        <v>258</v>
      </c>
      <c r="E21">
        <v>1</v>
      </c>
      <c r="F21" s="5">
        <v>29.084205326904204</v>
      </c>
      <c r="G21" s="13">
        <v>29.084205326904204</v>
      </c>
      <c r="H21" t="s">
        <v>24</v>
      </c>
      <c r="I21" t="s">
        <v>16</v>
      </c>
      <c r="J21" t="s">
        <v>47</v>
      </c>
      <c r="K21" t="s">
        <v>3</v>
      </c>
      <c r="L21" t="s">
        <v>44</v>
      </c>
      <c r="M21">
        <v>53.68</v>
      </c>
      <c r="N21">
        <v>-1.49</v>
      </c>
    </row>
    <row r="22" spans="1:14" x14ac:dyDescent="0.3">
      <c r="A22" s="1">
        <f>DATE(LEFT(B22,4),MID(B22,5,2),RIGHT(B22,2))</f>
        <v>44372</v>
      </c>
      <c r="B22">
        <v>20210625</v>
      </c>
      <c r="C22">
        <v>89</v>
      </c>
      <c r="D22">
        <v>277</v>
      </c>
      <c r="E22">
        <v>2</v>
      </c>
      <c r="F22" s="5">
        <v>50.795957342415619</v>
      </c>
      <c r="G22" s="13">
        <v>101.59191468483124</v>
      </c>
      <c r="H22" t="s">
        <v>34</v>
      </c>
      <c r="I22" t="s">
        <v>17</v>
      </c>
      <c r="J22" t="s">
        <v>47</v>
      </c>
      <c r="K22" t="s">
        <v>3</v>
      </c>
      <c r="L22" t="s">
        <v>45</v>
      </c>
      <c r="M22">
        <v>50.259998000000003</v>
      </c>
      <c r="N22">
        <v>-5.0510000000000002</v>
      </c>
    </row>
    <row r="23" spans="1:14" x14ac:dyDescent="0.3">
      <c r="A23" s="1">
        <f>DATE(LEFT(B23,4),MID(B23,5,2),RIGHT(B23,2))</f>
        <v>44368</v>
      </c>
      <c r="B23">
        <v>20210621</v>
      </c>
      <c r="C23">
        <v>90</v>
      </c>
      <c r="D23">
        <v>336</v>
      </c>
      <c r="E23">
        <v>1</v>
      </c>
      <c r="F23" s="5">
        <v>21.965811772016419</v>
      </c>
      <c r="G23" s="13">
        <v>21.965811772016419</v>
      </c>
      <c r="H23" t="s">
        <v>30</v>
      </c>
      <c r="I23" t="s">
        <v>18</v>
      </c>
      <c r="J23" t="s">
        <v>49</v>
      </c>
      <c r="K23" t="s">
        <v>36</v>
      </c>
      <c r="L23" t="s">
        <v>45</v>
      </c>
      <c r="M23">
        <v>50.259998000000003</v>
      </c>
      <c r="N23">
        <v>-5.0510000000000002</v>
      </c>
    </row>
    <row r="24" spans="1:14" x14ac:dyDescent="0.3">
      <c r="A24" s="1">
        <f>DATE(LEFT(B24,4),MID(B24,5,2),RIGHT(B24,2))</f>
        <v>44377</v>
      </c>
      <c r="B24">
        <v>20210630</v>
      </c>
      <c r="C24">
        <v>91</v>
      </c>
      <c r="D24">
        <v>291</v>
      </c>
      <c r="E24">
        <v>1</v>
      </c>
      <c r="F24" s="5">
        <v>31.879106763402888</v>
      </c>
      <c r="G24" s="13">
        <v>31.879106763402888</v>
      </c>
      <c r="H24" t="s">
        <v>27</v>
      </c>
      <c r="I24" t="s">
        <v>16</v>
      </c>
      <c r="J24" t="s">
        <v>47</v>
      </c>
      <c r="K24" t="s">
        <v>38</v>
      </c>
      <c r="L24" t="s">
        <v>43</v>
      </c>
      <c r="M24">
        <v>51.209000000000003</v>
      </c>
      <c r="N24">
        <v>-2.6469999999999998</v>
      </c>
    </row>
    <row r="25" spans="1:14" x14ac:dyDescent="0.3">
      <c r="A25" s="1">
        <f>DATE(LEFT(B25,4),MID(B25,5,2),RIGHT(B25,2))</f>
        <v>44349</v>
      </c>
      <c r="B25">
        <v>20210602</v>
      </c>
      <c r="C25" s="2">
        <v>92</v>
      </c>
      <c r="D25">
        <v>261</v>
      </c>
      <c r="E25">
        <v>4</v>
      </c>
      <c r="F25" s="5">
        <v>32.272403315518879</v>
      </c>
      <c r="G25" s="13">
        <v>129.08961326207552</v>
      </c>
      <c r="H25" t="s">
        <v>20</v>
      </c>
      <c r="I25" t="s">
        <v>16</v>
      </c>
      <c r="J25" t="s">
        <v>47</v>
      </c>
      <c r="K25" t="s">
        <v>3</v>
      </c>
      <c r="L25" t="s">
        <v>41</v>
      </c>
      <c r="M25">
        <v>52.192000999999998</v>
      </c>
      <c r="N25">
        <v>-2.2200000000000002</v>
      </c>
    </row>
    <row r="26" spans="1:14" x14ac:dyDescent="0.3">
      <c r="A26" s="1">
        <f>DATE(LEFT(B26,4),MID(B26,5,2),RIGHT(B26,2))</f>
        <v>44350</v>
      </c>
      <c r="B26">
        <v>20210603</v>
      </c>
      <c r="C26">
        <v>92</v>
      </c>
      <c r="D26">
        <v>264</v>
      </c>
      <c r="E26">
        <v>1</v>
      </c>
      <c r="F26" s="5">
        <v>36.193364036721427</v>
      </c>
      <c r="G26" s="13">
        <v>36.193364036721427</v>
      </c>
      <c r="H26" t="s">
        <v>20</v>
      </c>
      <c r="I26" t="s">
        <v>16</v>
      </c>
      <c r="J26" t="s">
        <v>47</v>
      </c>
      <c r="K26" t="s">
        <v>3</v>
      </c>
      <c r="L26" t="s">
        <v>41</v>
      </c>
      <c r="M26">
        <v>52.192000999999998</v>
      </c>
      <c r="N26">
        <v>-2.2200000000000002</v>
      </c>
    </row>
    <row r="27" spans="1:14" x14ac:dyDescent="0.3">
      <c r="A27" s="1">
        <f>DATE(LEFT(B27,4),MID(B27,5,2),RIGHT(B27,2))</f>
        <v>44353</v>
      </c>
      <c r="B27">
        <v>20210606</v>
      </c>
      <c r="C27">
        <v>97</v>
      </c>
      <c r="D27">
        <v>304</v>
      </c>
      <c r="E27">
        <v>3</v>
      </c>
      <c r="F27" s="5">
        <v>49.887524153696646</v>
      </c>
      <c r="G27" s="13">
        <v>149.66257246108995</v>
      </c>
      <c r="H27" t="s">
        <v>22</v>
      </c>
      <c r="I27" t="s">
        <v>4</v>
      </c>
      <c r="J27" t="s">
        <v>48</v>
      </c>
      <c r="K27" t="s">
        <v>36</v>
      </c>
      <c r="L27" t="s">
        <v>43</v>
      </c>
      <c r="M27">
        <v>51.209000000000003</v>
      </c>
      <c r="N27">
        <v>-2.6469999999999998</v>
      </c>
    </row>
    <row r="28" spans="1:14" x14ac:dyDescent="0.3">
      <c r="A28" s="1">
        <f>DATE(LEFT(B28,4),MID(B28,5,2),RIGHT(B28,2))</f>
        <v>44362</v>
      </c>
      <c r="B28">
        <v>20210615</v>
      </c>
      <c r="C28" s="2">
        <v>97</v>
      </c>
      <c r="D28">
        <v>291</v>
      </c>
      <c r="E28">
        <v>1</v>
      </c>
      <c r="F28" s="5">
        <v>34.792452547579884</v>
      </c>
      <c r="G28" s="13">
        <v>34.792452547579884</v>
      </c>
      <c r="H28" t="s">
        <v>27</v>
      </c>
      <c r="I28" t="s">
        <v>16</v>
      </c>
      <c r="J28" t="s">
        <v>47</v>
      </c>
      <c r="K28" t="s">
        <v>38</v>
      </c>
      <c r="L28" t="s">
        <v>43</v>
      </c>
      <c r="M28">
        <v>51.209000000000003</v>
      </c>
      <c r="N28">
        <v>-2.6469999999999998</v>
      </c>
    </row>
    <row r="29" spans="1:14" x14ac:dyDescent="0.3">
      <c r="A29" s="1">
        <f>DATE(LEFT(B29,4),MID(B29,5,2),RIGHT(B29,2))</f>
        <v>44348</v>
      </c>
      <c r="B29">
        <v>20210601</v>
      </c>
      <c r="C29" s="2">
        <v>98</v>
      </c>
      <c r="D29">
        <v>321</v>
      </c>
      <c r="E29">
        <v>1</v>
      </c>
      <c r="F29" s="5">
        <v>117.30601621265943</v>
      </c>
      <c r="G29" s="13">
        <v>117.30601621265943</v>
      </c>
      <c r="H29" t="s">
        <v>19</v>
      </c>
      <c r="I29" t="s">
        <v>18</v>
      </c>
      <c r="J29" t="s">
        <v>47</v>
      </c>
      <c r="K29" t="s">
        <v>35</v>
      </c>
      <c r="L29" t="s">
        <v>40</v>
      </c>
      <c r="M29">
        <v>53.958331999999999</v>
      </c>
      <c r="N29">
        <v>-1.0802780000000001</v>
      </c>
    </row>
    <row r="30" spans="1:14" x14ac:dyDescent="0.3">
      <c r="A30" s="1">
        <f>DATE(LEFT(B30,4),MID(B30,5,2),RIGHT(B30,2))</f>
        <v>44366</v>
      </c>
      <c r="B30">
        <v>20210619</v>
      </c>
      <c r="C30">
        <v>98</v>
      </c>
      <c r="D30">
        <v>280</v>
      </c>
      <c r="E30">
        <v>3</v>
      </c>
      <c r="F30" s="5">
        <v>41.412504340442645</v>
      </c>
      <c r="G30" s="13">
        <v>124.23751302132794</v>
      </c>
      <c r="H30" t="s">
        <v>7</v>
      </c>
      <c r="I30" t="s">
        <v>17</v>
      </c>
      <c r="J30" t="s">
        <v>50</v>
      </c>
      <c r="K30" t="s">
        <v>3</v>
      </c>
      <c r="L30" t="s">
        <v>40</v>
      </c>
      <c r="M30">
        <v>53.958331999999999</v>
      </c>
      <c r="N30">
        <v>-1.0802780000000001</v>
      </c>
    </row>
    <row r="31" spans="1:14" x14ac:dyDescent="0.3">
      <c r="A31" s="1">
        <f>DATE(LEFT(B31,4),MID(B31,5,2),RIGHT(B31,2))</f>
        <v>44351</v>
      </c>
      <c r="B31">
        <v>20210604</v>
      </c>
      <c r="C31">
        <v>99</v>
      </c>
      <c r="D31">
        <v>251</v>
      </c>
      <c r="E31">
        <v>3</v>
      </c>
      <c r="F31" s="5">
        <v>29.913403457473116</v>
      </c>
      <c r="G31" s="13">
        <v>89.740210372419341</v>
      </c>
      <c r="H31" t="s">
        <v>21</v>
      </c>
      <c r="I31" t="s">
        <v>16</v>
      </c>
      <c r="J31" t="s">
        <v>50</v>
      </c>
      <c r="K31" t="s">
        <v>3</v>
      </c>
      <c r="L31" t="s">
        <v>42</v>
      </c>
      <c r="M31">
        <v>51.063201999999997</v>
      </c>
      <c r="N31">
        <v>-1.3080000000000001</v>
      </c>
    </row>
  </sheetData>
  <autoFilter ref="C1:C31" xr:uid="{00000000-0001-0000-0000-000000000000}">
    <sortState xmlns:xlrd2="http://schemas.microsoft.com/office/spreadsheetml/2017/richdata2" ref="A2:N31">
      <sortCondition ref="C1:C31"/>
    </sortState>
  </autoFilter>
  <phoneticPr fontId="18" type="noConversion"/>
  <pageMargins left="0.7" right="0.7" top="0.75" bottom="0.75" header="0.3" footer="0.3"/>
  <pageSetup paperSize="9" orientation="portrait" horizontalDpi="300" verticalDpi="300"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675F-DF0B-4913-A2CB-C228DCD0ECED}">
  <dimension ref="A1:P46"/>
  <sheetViews>
    <sheetView zoomScale="115" zoomScaleNormal="115" workbookViewId="0">
      <selection activeCell="C2" sqref="C2"/>
    </sheetView>
  </sheetViews>
  <sheetFormatPr defaultRowHeight="15" x14ac:dyDescent="0.3"/>
  <cols>
    <col min="1" max="1" width="13.42578125" bestFit="1" customWidth="1"/>
    <col min="2" max="2" width="15.85546875" bestFit="1" customWidth="1"/>
    <col min="3" max="3" width="13.42578125" customWidth="1"/>
    <col min="4" max="4" width="9.42578125" bestFit="1" customWidth="1"/>
    <col min="5" max="6" width="13.42578125" bestFit="1" customWidth="1"/>
    <col min="7" max="7" width="21.42578125" bestFit="1" customWidth="1"/>
    <col min="8" max="8" width="12" bestFit="1" customWidth="1"/>
    <col min="9" max="9" width="21.42578125" bestFit="1" customWidth="1"/>
    <col min="10" max="10" width="16.85546875" bestFit="1" customWidth="1"/>
    <col min="11" max="12" width="12" bestFit="1" customWidth="1"/>
    <col min="13" max="13" width="13.42578125" bestFit="1" customWidth="1"/>
    <col min="14" max="14" width="12" bestFit="1" customWidth="1"/>
    <col min="15" max="15" width="6" bestFit="1" customWidth="1"/>
    <col min="16" max="16" width="12" bestFit="1" customWidth="1"/>
    <col min="17" max="17" width="8.7109375" bestFit="1" customWidth="1"/>
    <col min="18" max="18" width="5.42578125" bestFit="1" customWidth="1"/>
    <col min="19" max="19" width="10.85546875" bestFit="1" customWidth="1"/>
    <col min="20" max="20" width="5.5703125" bestFit="1" customWidth="1"/>
    <col min="21" max="21" width="8.42578125" bestFit="1" customWidth="1"/>
    <col min="22" max="22" width="5.5703125" bestFit="1" customWidth="1"/>
    <col min="23" max="23" width="9.85546875" bestFit="1" customWidth="1"/>
    <col min="24" max="24" width="7.85546875" bestFit="1" customWidth="1"/>
    <col min="25" max="25" width="6.42578125" bestFit="1" customWidth="1"/>
    <col min="26" max="26" width="5" bestFit="1" customWidth="1"/>
    <col min="27" max="27" width="6.85546875" bestFit="1" customWidth="1"/>
    <col min="28" max="28" width="4.140625" bestFit="1" customWidth="1"/>
    <col min="29" max="29" width="6.5703125" bestFit="1" customWidth="1"/>
    <col min="30" max="30" width="10.28515625" bestFit="1" customWidth="1"/>
    <col min="31" max="31" width="10.85546875" bestFit="1" customWidth="1"/>
    <col min="32" max="33" width="11" bestFit="1" customWidth="1"/>
    <col min="34" max="38" width="12" bestFit="1" customWidth="1"/>
    <col min="39" max="39" width="11" bestFit="1" customWidth="1"/>
    <col min="40" max="40" width="13.5703125" bestFit="1" customWidth="1"/>
    <col min="41" max="41" width="14.28515625" bestFit="1" customWidth="1"/>
    <col min="42" max="42" width="12" bestFit="1" customWidth="1"/>
  </cols>
  <sheetData>
    <row r="1" spans="1:16" x14ac:dyDescent="0.3">
      <c r="A1" s="2" t="s">
        <v>61</v>
      </c>
      <c r="C1" s="2" t="s">
        <v>71</v>
      </c>
    </row>
    <row r="2" spans="1:16" x14ac:dyDescent="0.3">
      <c r="A2">
        <f>SUM('First model'!G2:G31)</f>
        <v>2390.6385765160726</v>
      </c>
      <c r="C2">
        <f>COUNT('First model'!C2:C31)</f>
        <v>30</v>
      </c>
    </row>
    <row r="3" spans="1:16" x14ac:dyDescent="0.3">
      <c r="I3" s="2" t="s">
        <v>73</v>
      </c>
      <c r="J3" s="2"/>
    </row>
    <row r="4" spans="1:16" x14ac:dyDescent="0.3">
      <c r="A4" s="2" t="s">
        <v>64</v>
      </c>
      <c r="B4" s="2"/>
      <c r="F4" s="2" t="s">
        <v>68</v>
      </c>
      <c r="G4" s="2"/>
      <c r="I4" s="3" t="s">
        <v>62</v>
      </c>
      <c r="J4" t="s">
        <v>67</v>
      </c>
    </row>
    <row r="5" spans="1:16" x14ac:dyDescent="0.3">
      <c r="A5" s="3" t="s">
        <v>62</v>
      </c>
      <c r="B5" t="s">
        <v>66</v>
      </c>
      <c r="F5" s="3" t="s">
        <v>62</v>
      </c>
      <c r="G5" t="s">
        <v>67</v>
      </c>
      <c r="I5" s="4" t="s">
        <v>56</v>
      </c>
      <c r="J5" s="14">
        <v>828.92670016484192</v>
      </c>
    </row>
    <row r="6" spans="1:16" x14ac:dyDescent="0.3">
      <c r="A6" s="4" t="s">
        <v>18</v>
      </c>
      <c r="B6" s="7">
        <v>2</v>
      </c>
      <c r="F6" s="4" t="s">
        <v>18</v>
      </c>
      <c r="G6" s="14">
        <v>139.27182798467584</v>
      </c>
      <c r="I6" s="4" t="s">
        <v>59</v>
      </c>
      <c r="J6" s="14">
        <v>404.4334135258888</v>
      </c>
    </row>
    <row r="7" spans="1:16" x14ac:dyDescent="0.3">
      <c r="A7" s="4" t="s">
        <v>4</v>
      </c>
      <c r="B7" s="7">
        <v>5</v>
      </c>
      <c r="F7" s="4" t="s">
        <v>4</v>
      </c>
      <c r="G7" s="14">
        <v>220.49460431112294</v>
      </c>
      <c r="I7" s="4" t="s">
        <v>55</v>
      </c>
      <c r="J7" s="14">
        <v>330.16535183887669</v>
      </c>
    </row>
    <row r="8" spans="1:16" x14ac:dyDescent="0.3">
      <c r="A8" s="4" t="s">
        <v>16</v>
      </c>
      <c r="B8" s="7">
        <v>27</v>
      </c>
      <c r="F8" s="4" t="s">
        <v>16</v>
      </c>
      <c r="G8" s="14">
        <v>933.16672302570782</v>
      </c>
      <c r="I8" s="4" t="s">
        <v>40</v>
      </c>
      <c r="J8" s="14">
        <v>309.75737830648194</v>
      </c>
    </row>
    <row r="9" spans="1:16" x14ac:dyDescent="0.3">
      <c r="A9" s="4" t="s">
        <v>17</v>
      </c>
      <c r="B9" s="7">
        <v>28</v>
      </c>
      <c r="F9" s="4" t="s">
        <v>17</v>
      </c>
      <c r="G9" s="14">
        <v>1097.7054211945656</v>
      </c>
      <c r="I9" s="4" t="s">
        <v>53</v>
      </c>
      <c r="J9" s="14">
        <v>302.07013635305793</v>
      </c>
    </row>
    <row r="10" spans="1:16" x14ac:dyDescent="0.3">
      <c r="A10" s="4" t="s">
        <v>63</v>
      </c>
      <c r="B10" s="7">
        <v>62</v>
      </c>
      <c r="F10" s="4" t="s">
        <v>63</v>
      </c>
      <c r="G10" s="14">
        <v>2390.6385765160721</v>
      </c>
      <c r="I10" s="4" t="s">
        <v>41</v>
      </c>
      <c r="J10" s="14">
        <v>215.2855963269248</v>
      </c>
    </row>
    <row r="11" spans="1:16" x14ac:dyDescent="0.3">
      <c r="I11" s="4" t="s">
        <v>63</v>
      </c>
      <c r="J11" s="14">
        <v>2390.6385765160717</v>
      </c>
    </row>
    <row r="14" spans="1:16" x14ac:dyDescent="0.3">
      <c r="A14" s="2" t="s">
        <v>76</v>
      </c>
      <c r="B14" s="2"/>
      <c r="C14" s="2"/>
      <c r="F14" s="2" t="s">
        <v>77</v>
      </c>
      <c r="G14" s="2"/>
      <c r="I14" s="6" t="s">
        <v>74</v>
      </c>
      <c r="J14" s="2"/>
    </row>
    <row r="15" spans="1:16" x14ac:dyDescent="0.3">
      <c r="A15" s="3" t="s">
        <v>62</v>
      </c>
      <c r="B15" t="s">
        <v>66</v>
      </c>
      <c r="F15" s="3" t="s">
        <v>62</v>
      </c>
      <c r="G15" t="s">
        <v>67</v>
      </c>
      <c r="I15" s="3" t="s">
        <v>72</v>
      </c>
      <c r="J15" s="3" t="s">
        <v>65</v>
      </c>
    </row>
    <row r="16" spans="1:16" x14ac:dyDescent="0.3">
      <c r="A16" s="4" t="s">
        <v>57</v>
      </c>
      <c r="B16" s="7">
        <v>6</v>
      </c>
      <c r="F16" s="4" t="s">
        <v>57</v>
      </c>
      <c r="G16" s="13">
        <v>180.50277937778674</v>
      </c>
      <c r="I16" s="3" t="s">
        <v>62</v>
      </c>
      <c r="J16" t="s">
        <v>57</v>
      </c>
      <c r="K16" t="s">
        <v>3</v>
      </c>
      <c r="L16" t="s">
        <v>52</v>
      </c>
      <c r="M16" t="s">
        <v>54</v>
      </c>
      <c r="N16" t="s">
        <v>58</v>
      </c>
      <c r="O16" t="s">
        <v>5</v>
      </c>
      <c r="P16" t="s">
        <v>63</v>
      </c>
    </row>
    <row r="17" spans="1:16" x14ac:dyDescent="0.3">
      <c r="A17" s="4" t="s">
        <v>3</v>
      </c>
      <c r="B17" s="7">
        <v>33</v>
      </c>
      <c r="F17" s="4" t="s">
        <v>3</v>
      </c>
      <c r="G17" s="13">
        <v>1238.3157244600773</v>
      </c>
      <c r="I17" s="4" t="s">
        <v>59</v>
      </c>
      <c r="J17" s="7"/>
      <c r="K17" s="7">
        <v>3</v>
      </c>
      <c r="L17" s="7"/>
      <c r="M17" s="7">
        <v>1</v>
      </c>
      <c r="N17" s="7">
        <v>1</v>
      </c>
      <c r="O17" s="7"/>
      <c r="P17" s="7">
        <v>5</v>
      </c>
    </row>
    <row r="18" spans="1:16" x14ac:dyDescent="0.3">
      <c r="A18" s="4" t="s">
        <v>52</v>
      </c>
      <c r="B18" s="7">
        <v>1</v>
      </c>
      <c r="F18" s="4" t="s">
        <v>52</v>
      </c>
      <c r="G18" s="13">
        <v>117.30601621265943</v>
      </c>
      <c r="I18" s="4" t="s">
        <v>56</v>
      </c>
      <c r="J18" s="7"/>
      <c r="K18" s="7">
        <v>5</v>
      </c>
      <c r="L18" s="7"/>
      <c r="M18" s="7">
        <v>1</v>
      </c>
      <c r="N18" s="7">
        <v>1</v>
      </c>
      <c r="O18" s="7">
        <v>2</v>
      </c>
      <c r="P18" s="7">
        <v>9</v>
      </c>
    </row>
    <row r="19" spans="1:16" x14ac:dyDescent="0.3">
      <c r="A19" s="4" t="s">
        <v>54</v>
      </c>
      <c r="B19" s="7">
        <v>7</v>
      </c>
      <c r="F19" s="4" t="s">
        <v>54</v>
      </c>
      <c r="G19" s="13">
        <v>292.46303511126723</v>
      </c>
      <c r="I19" s="4" t="s">
        <v>55</v>
      </c>
      <c r="J19" s="7">
        <v>4</v>
      </c>
      <c r="K19" s="7"/>
      <c r="L19" s="7"/>
      <c r="M19" s="7">
        <v>1</v>
      </c>
      <c r="N19" s="7"/>
      <c r="O19" s="7"/>
      <c r="P19" s="7">
        <v>5</v>
      </c>
    </row>
    <row r="20" spans="1:16" x14ac:dyDescent="0.3">
      <c r="A20" s="4" t="s">
        <v>58</v>
      </c>
      <c r="B20" s="7">
        <v>3</v>
      </c>
      <c r="F20" s="4" t="s">
        <v>58</v>
      </c>
      <c r="G20" s="13">
        <v>129.40592292611478</v>
      </c>
      <c r="I20" s="4" t="s">
        <v>53</v>
      </c>
      <c r="J20" s="7"/>
      <c r="K20" s="7">
        <v>3</v>
      </c>
      <c r="L20" s="7"/>
      <c r="M20" s="7"/>
      <c r="N20" s="7"/>
      <c r="O20" s="7">
        <v>1</v>
      </c>
      <c r="P20" s="7">
        <v>4</v>
      </c>
    </row>
    <row r="21" spans="1:16" x14ac:dyDescent="0.3">
      <c r="A21" s="4" t="s">
        <v>5</v>
      </c>
      <c r="B21" s="7">
        <v>12</v>
      </c>
      <c r="F21" s="4" t="s">
        <v>5</v>
      </c>
      <c r="G21" s="13">
        <v>432.64509842816665</v>
      </c>
      <c r="I21" s="4" t="s">
        <v>41</v>
      </c>
      <c r="J21" s="7"/>
      <c r="K21" s="7">
        <v>2</v>
      </c>
      <c r="L21" s="7"/>
      <c r="M21" s="7">
        <v>1</v>
      </c>
      <c r="N21" s="7"/>
      <c r="O21" s="7"/>
      <c r="P21" s="7">
        <v>3</v>
      </c>
    </row>
    <row r="22" spans="1:16" x14ac:dyDescent="0.3">
      <c r="A22" s="4" t="s">
        <v>63</v>
      </c>
      <c r="B22" s="7">
        <v>62</v>
      </c>
      <c r="F22" s="4" t="s">
        <v>63</v>
      </c>
      <c r="G22" s="13">
        <v>2390.6385765160721</v>
      </c>
      <c r="I22" s="4" t="s">
        <v>40</v>
      </c>
      <c r="J22" s="7"/>
      <c r="K22" s="7">
        <v>2</v>
      </c>
      <c r="L22" s="7">
        <v>1</v>
      </c>
      <c r="M22" s="7"/>
      <c r="N22" s="7"/>
      <c r="O22" s="7">
        <v>1</v>
      </c>
      <c r="P22" s="7">
        <v>4</v>
      </c>
    </row>
    <row r="23" spans="1:16" x14ac:dyDescent="0.3">
      <c r="I23" s="4" t="s">
        <v>63</v>
      </c>
      <c r="J23" s="7">
        <v>4</v>
      </c>
      <c r="K23" s="7">
        <v>15</v>
      </c>
      <c r="L23" s="7">
        <v>1</v>
      </c>
      <c r="M23" s="7">
        <v>4</v>
      </c>
      <c r="N23" s="7">
        <v>2</v>
      </c>
      <c r="O23" s="7">
        <v>4</v>
      </c>
      <c r="P23" s="7">
        <v>30</v>
      </c>
    </row>
    <row r="26" spans="1:16" x14ac:dyDescent="0.3">
      <c r="A26" s="2" t="s">
        <v>69</v>
      </c>
      <c r="B26" s="2"/>
      <c r="E26" s="2" t="s">
        <v>70</v>
      </c>
      <c r="F26" s="2"/>
      <c r="I26" s="6" t="s">
        <v>75</v>
      </c>
      <c r="J26" s="2"/>
    </row>
    <row r="27" spans="1:16" x14ac:dyDescent="0.3">
      <c r="A27" s="3" t="s">
        <v>62</v>
      </c>
      <c r="B27" t="s">
        <v>66</v>
      </c>
      <c r="E27" s="3" t="s">
        <v>62</v>
      </c>
      <c r="F27" t="s">
        <v>67</v>
      </c>
      <c r="I27" s="3" t="s">
        <v>67</v>
      </c>
      <c r="J27" s="3" t="s">
        <v>65</v>
      </c>
    </row>
    <row r="28" spans="1:16" x14ac:dyDescent="0.3">
      <c r="A28" s="4" t="s">
        <v>26</v>
      </c>
      <c r="B28">
        <v>9</v>
      </c>
      <c r="E28" s="4" t="s">
        <v>26</v>
      </c>
      <c r="F28" s="13">
        <v>291.90186364921277</v>
      </c>
      <c r="I28" s="3" t="s">
        <v>62</v>
      </c>
      <c r="J28" t="s">
        <v>18</v>
      </c>
      <c r="K28" t="s">
        <v>4</v>
      </c>
      <c r="L28" t="s">
        <v>16</v>
      </c>
      <c r="M28" t="s">
        <v>17</v>
      </c>
      <c r="N28" t="s">
        <v>63</v>
      </c>
    </row>
    <row r="29" spans="1:16" x14ac:dyDescent="0.3">
      <c r="A29" s="4" t="s">
        <v>27</v>
      </c>
      <c r="B29">
        <v>6</v>
      </c>
      <c r="E29" s="4" t="s">
        <v>7</v>
      </c>
      <c r="F29" s="13">
        <v>212.7563500631465</v>
      </c>
      <c r="I29" s="4" t="s">
        <v>41</v>
      </c>
      <c r="J29" s="7"/>
      <c r="K29" s="7"/>
      <c r="L29" s="7">
        <v>215.2855963269248</v>
      </c>
      <c r="M29" s="7"/>
      <c r="N29" s="7">
        <v>215.2855963269248</v>
      </c>
    </row>
    <row r="30" spans="1:16" x14ac:dyDescent="0.3">
      <c r="A30" s="4" t="s">
        <v>20</v>
      </c>
      <c r="B30">
        <v>5</v>
      </c>
      <c r="E30" s="4" t="s">
        <v>34</v>
      </c>
      <c r="F30" s="13">
        <v>196.45854756386993</v>
      </c>
      <c r="I30" s="4" t="s">
        <v>53</v>
      </c>
      <c r="J30" s="7"/>
      <c r="K30" s="7"/>
      <c r="L30" s="7">
        <v>89.740210372419341</v>
      </c>
      <c r="M30" s="7">
        <v>212.32992598063862</v>
      </c>
      <c r="N30" s="7">
        <v>302.07013635305793</v>
      </c>
    </row>
    <row r="31" spans="1:16" x14ac:dyDescent="0.3">
      <c r="A31" s="4" t="s">
        <v>6</v>
      </c>
      <c r="B31">
        <v>5</v>
      </c>
      <c r="E31" s="4" t="s">
        <v>27</v>
      </c>
      <c r="F31" s="13">
        <v>180.50277937778674</v>
      </c>
      <c r="I31" s="4" t="s">
        <v>40</v>
      </c>
      <c r="J31" s="7">
        <v>117.30601621265943</v>
      </c>
      <c r="K31" s="7"/>
      <c r="L31" s="7">
        <v>68.213849072494583</v>
      </c>
      <c r="M31" s="7">
        <v>124.23751302132794</v>
      </c>
      <c r="N31" s="7">
        <v>309.757378306482</v>
      </c>
    </row>
    <row r="32" spans="1:16" x14ac:dyDescent="0.3">
      <c r="A32" s="4" t="s">
        <v>7</v>
      </c>
      <c r="B32">
        <v>5</v>
      </c>
      <c r="E32" s="4" t="s">
        <v>6</v>
      </c>
      <c r="F32" s="13">
        <v>177.57052985372604</v>
      </c>
      <c r="I32" s="4" t="s">
        <v>55</v>
      </c>
      <c r="J32" s="7"/>
      <c r="K32" s="7">
        <v>149.66257246108995</v>
      </c>
      <c r="L32" s="7">
        <v>66.671559310982772</v>
      </c>
      <c r="M32" s="7">
        <v>113.83122006680398</v>
      </c>
      <c r="N32" s="7">
        <v>330.16535183887675</v>
      </c>
    </row>
    <row r="33" spans="1:14" x14ac:dyDescent="0.3">
      <c r="A33" s="4" t="s">
        <v>24</v>
      </c>
      <c r="B33">
        <v>4</v>
      </c>
      <c r="E33" s="4" t="s">
        <v>63</v>
      </c>
      <c r="F33" s="13">
        <v>1059.1900705077419</v>
      </c>
      <c r="I33" s="4" t="s">
        <v>59</v>
      </c>
      <c r="J33" s="7">
        <v>21.965811772016419</v>
      </c>
      <c r="K33" s="7"/>
      <c r="L33" s="7">
        <v>94.86663287903869</v>
      </c>
      <c r="M33" s="7">
        <v>287.60096887483371</v>
      </c>
      <c r="N33" s="7">
        <v>404.4334135258888</v>
      </c>
    </row>
    <row r="34" spans="1:14" x14ac:dyDescent="0.3">
      <c r="A34" s="4" t="s">
        <v>28</v>
      </c>
      <c r="B34">
        <v>4</v>
      </c>
      <c r="I34" s="4" t="s">
        <v>56</v>
      </c>
      <c r="J34" s="7"/>
      <c r="K34" s="7">
        <v>70.83203185003299</v>
      </c>
      <c r="L34" s="7">
        <v>398.38887506384771</v>
      </c>
      <c r="M34" s="7">
        <v>359.70579325096128</v>
      </c>
      <c r="N34" s="7">
        <v>828.92670016484203</v>
      </c>
    </row>
    <row r="35" spans="1:14" x14ac:dyDescent="0.3">
      <c r="A35" s="4" t="s">
        <v>34</v>
      </c>
      <c r="B35">
        <v>4</v>
      </c>
      <c r="I35" s="4" t="s">
        <v>63</v>
      </c>
      <c r="J35" s="7">
        <v>139.27182798467584</v>
      </c>
      <c r="K35" s="7">
        <v>220.49460431112294</v>
      </c>
      <c r="L35" s="7">
        <v>933.16672302570794</v>
      </c>
      <c r="M35" s="7">
        <v>1097.7054211945656</v>
      </c>
      <c r="N35" s="7">
        <v>2390.6385765160721</v>
      </c>
    </row>
    <row r="36" spans="1:14" x14ac:dyDescent="0.3">
      <c r="A36" s="4" t="s">
        <v>21</v>
      </c>
      <c r="B36">
        <v>3</v>
      </c>
    </row>
    <row r="37" spans="1:14" x14ac:dyDescent="0.3">
      <c r="A37" s="4" t="s">
        <v>25</v>
      </c>
      <c r="B37">
        <v>3</v>
      </c>
    </row>
    <row r="38" spans="1:14" x14ac:dyDescent="0.3">
      <c r="A38" s="4" t="s">
        <v>32</v>
      </c>
      <c r="B38">
        <v>3</v>
      </c>
    </row>
    <row r="39" spans="1:14" x14ac:dyDescent="0.3">
      <c r="A39" s="4" t="s">
        <v>22</v>
      </c>
      <c r="B39">
        <v>3</v>
      </c>
    </row>
    <row r="40" spans="1:14" x14ac:dyDescent="0.3">
      <c r="A40" s="4" t="s">
        <v>23</v>
      </c>
      <c r="B40">
        <v>2</v>
      </c>
    </row>
    <row r="41" spans="1:14" x14ac:dyDescent="0.3">
      <c r="A41" s="4" t="s">
        <v>31</v>
      </c>
      <c r="B41">
        <v>2</v>
      </c>
    </row>
    <row r="42" spans="1:14" x14ac:dyDescent="0.3">
      <c r="A42" s="4" t="s">
        <v>33</v>
      </c>
      <c r="B42">
        <v>1</v>
      </c>
    </row>
    <row r="43" spans="1:14" x14ac:dyDescent="0.3">
      <c r="A43" s="4" t="s">
        <v>19</v>
      </c>
      <c r="B43">
        <v>1</v>
      </c>
    </row>
    <row r="44" spans="1:14" x14ac:dyDescent="0.3">
      <c r="A44" s="4" t="s">
        <v>29</v>
      </c>
      <c r="B44">
        <v>1</v>
      </c>
    </row>
    <row r="45" spans="1:14" x14ac:dyDescent="0.3">
      <c r="A45" s="4" t="s">
        <v>30</v>
      </c>
      <c r="B45">
        <v>1</v>
      </c>
    </row>
    <row r="46" spans="1:14" x14ac:dyDescent="0.3">
      <c r="A46" s="4" t="s">
        <v>63</v>
      </c>
      <c r="B46">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56CE-FA0D-4777-9C7B-D6AE660D7CBF}">
  <dimension ref="A1:AD37"/>
  <sheetViews>
    <sheetView showGridLines="0" tabSelected="1" workbookViewId="0">
      <selection activeCell="U17" sqref="U17"/>
    </sheetView>
  </sheetViews>
  <sheetFormatPr defaultRowHeight="15" x14ac:dyDescent="0.3"/>
  <sheetData>
    <row r="1" spans="1:30" ht="42.75" thickBot="1" x14ac:dyDescent="0.85">
      <c r="A1" s="8" t="s">
        <v>78</v>
      </c>
      <c r="B1" s="9"/>
      <c r="C1" s="9"/>
      <c r="D1" s="9"/>
      <c r="E1" s="9"/>
      <c r="F1" s="9"/>
      <c r="G1" s="9"/>
      <c r="H1" s="9"/>
      <c r="I1" s="9"/>
      <c r="J1" s="9"/>
      <c r="K1" s="9"/>
      <c r="L1" s="9"/>
      <c r="M1" s="9"/>
      <c r="N1" s="9"/>
      <c r="O1" s="9"/>
      <c r="P1" s="9"/>
      <c r="Q1" s="9"/>
      <c r="R1" s="9"/>
      <c r="S1" s="9"/>
      <c r="T1" s="9"/>
      <c r="U1" s="9"/>
      <c r="V1" s="9"/>
      <c r="W1" s="9"/>
      <c r="X1" s="9"/>
      <c r="Y1" s="9"/>
      <c r="Z1" s="10"/>
      <c r="AA1" s="10"/>
      <c r="AB1" s="10"/>
      <c r="AC1" s="11"/>
    </row>
    <row r="2" spans="1:30"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row>
    <row r="4" spans="1:30"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1:30"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1:30"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1:30"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row>
    <row r="9" spans="1:30"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row>
    <row r="27" spans="1:30"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0"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7E3B49EDC43047BE2F5984FD4D0E4F" ma:contentTypeVersion="13" ma:contentTypeDescription="Create a new document." ma:contentTypeScope="" ma:versionID="f531e1712c697404f5b3f7e26bb9618f">
  <xsd:schema xmlns:xsd="http://www.w3.org/2001/XMLSchema" xmlns:xs="http://www.w3.org/2001/XMLSchema" xmlns:p="http://schemas.microsoft.com/office/2006/metadata/properties" xmlns:ns3="9eea61dc-18ae-4d3f-9985-0723ab4edaff" xmlns:ns4="fcc50db8-e148-4925-a233-b1e63ec9cf13" targetNamespace="http://schemas.microsoft.com/office/2006/metadata/properties" ma:root="true" ma:fieldsID="65ff502d2ff3bdc876a7f2b173622dfb" ns3:_="" ns4:_="">
    <xsd:import namespace="9eea61dc-18ae-4d3f-9985-0723ab4edaff"/>
    <xsd:import namespace="fcc50db8-e148-4925-a233-b1e63ec9cf1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ea61dc-18ae-4d3f-9985-0723ab4ed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c50db8-e148-4925-a233-b1e63ec9cf1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4C6861-8155-4555-80A1-8E840CB1509E}">
  <ds:schemaRefs>
    <ds:schemaRef ds:uri="http://schemas.microsoft.com/sharepoint/v3/contenttype/forms"/>
  </ds:schemaRefs>
</ds:datastoreItem>
</file>

<file path=customXml/itemProps2.xml><?xml version="1.0" encoding="utf-8"?>
<ds:datastoreItem xmlns:ds="http://schemas.openxmlformats.org/officeDocument/2006/customXml" ds:itemID="{6ACF0DDA-E7E0-4FBC-87E9-C3A7E3E882A3}">
  <ds:schemaRefs>
    <ds:schemaRef ds:uri="fcc50db8-e148-4925-a233-b1e63ec9cf13"/>
    <ds:schemaRef ds:uri="http://purl.org/dc/elements/1.1/"/>
    <ds:schemaRef ds:uri="http://purl.org/dc/terms/"/>
    <ds:schemaRef ds:uri="9eea61dc-18ae-4d3f-9985-0723ab4edaff"/>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CC5F7F98-7D01-4ECC-8FE1-342FC90885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ea61dc-18ae-4d3f-9985-0723ab4edaff"/>
    <ds:schemaRef ds:uri="fcc50db8-e148-4925-a233-b1e63ec9cf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First model</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Gunning, Michelle</dc:creator>
  <cp:lastModifiedBy>SAHIL KATIYAR</cp:lastModifiedBy>
  <dcterms:created xsi:type="dcterms:W3CDTF">2018-09-19T08:44:39Z</dcterms:created>
  <dcterms:modified xsi:type="dcterms:W3CDTF">2024-12-23T15:02:47Z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0x010100D67E3B49EDC43047BE2F5984FD4D0E4F</vt:lpwstr>
  </property>
</Properties>
</file>